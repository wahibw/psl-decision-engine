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-Test Log" sheetId="1" state="visible" r:id="rId1"/>
    <sheet name="Partnership Back-Test" sheetId="2" state="visible" r:id="rId2"/>
    <sheet name="Toss Accuracy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B1F3A"/>
      <sz val="9"/>
    </font>
    <font>
      <name val="Arial"/>
      <b val="1"/>
      <color rgb="000B1F3A"/>
      <sz val="9"/>
    </font>
    <font>
      <name val="Arial"/>
      <color rgb="005D6D7E"/>
      <sz val="8"/>
    </font>
    <font>
      <name val="Arial"/>
      <color rgb="005D6D7E"/>
      <sz val="9"/>
    </font>
    <font>
      <name val="Arial"/>
      <i val="1"/>
      <color rgb="005D4037"/>
      <sz val="9"/>
    </font>
    <font>
      <name val="Arial"/>
      <b val="1"/>
      <sz val="9"/>
    </font>
    <font>
      <name val="Arial"/>
      <b val="1"/>
      <color rgb="00005F5A"/>
      <sz val="9"/>
    </font>
    <font>
      <name val="Arial"/>
      <b val="1"/>
      <color rgb="001A5C2A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sz val="9"/>
    </font>
    <font>
      <name val="Arial"/>
      <sz val="10"/>
    </font>
    <font>
      <name val="Arial"/>
      <b val="1"/>
      <color rgb="000B1F3A"/>
      <sz val="10"/>
    </font>
    <font>
      <name val="Arial"/>
      <b val="1"/>
      <color rgb="000B1F3A"/>
      <sz val="11"/>
    </font>
    <font>
      <name val="Arial"/>
      <color rgb="000B1F3A"/>
      <sz val="10"/>
    </font>
    <font>
      <name val="Arial"/>
      <b val="1"/>
      <color rgb="000B1F3A"/>
      <sz val="13"/>
    </font>
    <font>
      <name val="Arial"/>
      <color rgb="000B1F3A"/>
      <sz val="11"/>
    </font>
    <font>
      <name val="Arial"/>
      <b val="1"/>
      <color rgb="00FFFFFF"/>
      <sz val="11"/>
    </font>
    <font>
      <name val="Arial"/>
      <color rgb="001A3A2A"/>
      <sz val="9"/>
    </font>
    <font>
      <name val="Arial"/>
      <color rgb="005D4037"/>
      <sz val="9"/>
    </font>
    <font/>
    <font>
      <name val="Arial"/>
      <b val="1"/>
      <color rgb="00FFFFFF"/>
      <sz val="14"/>
    </font>
    <font>
      <name val="Arial"/>
      <color rgb="005D6D7E"/>
      <sz val="10"/>
    </font>
    <font>
      <name val="Arial"/>
      <i val="1"/>
      <color rgb="005D6D7E"/>
      <sz val="10"/>
    </font>
    <font>
      <name val="Arial"/>
      <i val="1"/>
      <color rgb="00999999"/>
      <sz val="8"/>
    </font>
    <font>
      <name val="Arial"/>
      <i val="1"/>
      <color rgb="000B1F3A"/>
      <sz val="9"/>
    </font>
  </fonts>
  <fills count="18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5D6D7E"/>
        <bgColor rgb="005D6D7E"/>
      </patternFill>
    </fill>
    <fill>
      <patternFill patternType="solid">
        <fgColor rgb="0000B4A6"/>
        <bgColor rgb="0000B4A6"/>
      </patternFill>
    </fill>
    <fill>
      <patternFill patternType="solid">
        <fgColor rgb="00F5A623"/>
        <bgColor rgb="00F5A623"/>
      </patternFill>
    </fill>
    <fill>
      <patternFill patternType="solid">
        <fgColor rgb="00C0392B"/>
        <bgColor rgb="00C0392B"/>
      </patternFill>
    </fill>
    <fill>
      <patternFill patternType="solid">
        <fgColor rgb="00005F5A"/>
        <bgColor rgb="00005F5A"/>
      </patternFill>
    </fill>
    <fill>
      <patternFill patternType="solid">
        <fgColor rgb="008B6914"/>
        <bgColor rgb="008B6914"/>
      </patternFill>
    </fill>
    <fill>
      <patternFill patternType="solid">
        <fgColor rgb="008B1A1A"/>
        <bgColor rgb="008B1A1A"/>
      </patternFill>
    </fill>
    <fill>
      <patternFill patternType="solid">
        <fgColor rgb="00F4F6F8"/>
        <bgColor rgb="00F4F6F8"/>
      </patternFill>
    </fill>
    <fill>
      <patternFill patternType="solid">
        <fgColor rgb="00E0F4F3"/>
        <bgColor rgb="00E0F4F3"/>
      </patternFill>
    </fill>
    <fill>
      <patternFill patternType="solid">
        <fgColor rgb="00FFFDE7"/>
        <bgColor rgb="00FFFDE7"/>
      </patternFill>
    </fill>
    <fill>
      <patternFill patternType="solid">
        <fgColor rgb="00EAECEE"/>
        <bgColor rgb="00EAECEE"/>
      </patternFill>
    </fill>
    <fill>
      <patternFill patternType="solid">
        <fgColor rgb="00F8F9FA"/>
        <bgColor rgb="00F8F9FA"/>
      </patternFill>
    </fill>
    <fill>
      <patternFill patternType="solid">
        <fgColor rgb="00D5F5E3"/>
        <bgColor rgb="00D5F5E3"/>
      </patternFill>
    </fill>
    <fill>
      <patternFill patternType="solid">
        <fgColor rgb="0027AE60"/>
        <bgColor rgb="0027AE6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1" fillId="4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9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9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8" fillId="0" borderId="0" pivotButton="0" quotePrefix="0" xfId="0"/>
    <xf numFmtId="0" fontId="10" fillId="15" borderId="0" applyAlignment="1" pivotButton="0" quotePrefix="0" xfId="0">
      <alignment horizontal="left"/>
    </xf>
    <xf numFmtId="0" fontId="22" fillId="12" borderId="0" applyAlignment="1" pivotButton="0" quotePrefix="0" xfId="0">
      <alignment horizontal="left"/>
    </xf>
    <xf numFmtId="0" fontId="10" fillId="15" borderId="1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/>
    </xf>
    <xf numFmtId="0" fontId="23" fillId="0" borderId="0" pivotButton="0" quotePrefix="0" xfId="0"/>
    <xf numFmtId="0" fontId="20" fillId="3" borderId="0" applyAlignment="1" pivotButton="0" quotePrefix="0" xfId="0">
      <alignment horizontal="left" vertical="center"/>
    </xf>
    <xf numFmtId="0" fontId="11" fillId="16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25" fillId="12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30" customWidth="1" min="5" max="5"/>
    <col width="13" customWidth="1" min="6" max="6"/>
    <col width="28" customWidth="1" min="7" max="7"/>
    <col width="20" customWidth="1" min="8" max="8"/>
    <col width="8" customWidth="1" min="9" max="9"/>
    <col width="9" customWidth="1" min="10" max="10"/>
    <col width="16" customWidth="1" min="11" max="11"/>
    <col width="12" customWidth="1" min="12" max="12"/>
    <col width="18" customWidth="1" min="13" max="13"/>
    <col width="10" customWidth="1" min="14" max="14"/>
    <col width="10" customWidth="1" min="15" max="15"/>
    <col width="22" customWidth="1" min="16" max="16"/>
    <col width="16" customWidth="1" min="17" max="17"/>
    <col width="12" customWidth="1" min="18" max="18"/>
    <col width="35" customWidth="1" min="19" max="19"/>
    <col width="12" customWidth="1" min="20" max="20"/>
  </cols>
  <sheetData>
    <row r="1" ht="32" customHeight="1">
      <c r="A1" s="1" t="inlineStr">
        <is>
          <t>PSL DECISION ENGINE — BACK-TEST LOG  |  PSL 2025 Season  |  Fill YELLOW cells with real match results</t>
        </is>
      </c>
    </row>
    <row r="2" ht="18" customHeight="1">
      <c r="A2" s="2" t="inlineStr">
        <is>
          <t>MATCH INFO</t>
        </is>
      </c>
      <c r="F2" s="3" t="inlineStr">
        <is>
          <t>SYSTEM RECOMMENDATION  (pre-filled)</t>
        </is>
      </c>
      <c r="K2" s="4" t="inlineStr">
        <is>
          <t>ACTUAL RESULT  ← fill these in yellow</t>
        </is>
      </c>
      <c r="P2" s="5" t="inlineStr">
        <is>
          <t>KEY MOMENTS  ← fill these in yellow</t>
        </is>
      </c>
      <c r="T2" s="6" t="inlineStr">
        <is>
          <t>VERDICT</t>
        </is>
      </c>
    </row>
    <row r="3" ht="28" customHeight="1">
      <c r="A3" s="7" t="inlineStr">
        <is>
          <t>#</t>
        </is>
      </c>
      <c r="B3" s="7" t="inlineStr">
        <is>
          <t>Date</t>
        </is>
      </c>
      <c r="C3" s="7" t="inlineStr">
        <is>
          <t>Team 1</t>
        </is>
      </c>
      <c r="D3" s="7" t="inlineStr">
        <is>
          <t>Team 2</t>
        </is>
      </c>
      <c r="E3" s="7" t="inlineStr">
        <is>
          <t>Venue</t>
        </is>
      </c>
      <c r="F3" s="8" t="inlineStr">
        <is>
          <t>Sys Toss
Rec</t>
        </is>
      </c>
      <c r="G3" s="8" t="inlineStr">
        <is>
          <t>Reason</t>
        </is>
      </c>
      <c r="H3" s="8" t="inlineStr">
        <is>
          <t>Top 3
Batters T1</t>
        </is>
      </c>
      <c r="I3" s="8" t="inlineStr">
        <is>
          <t>PP SR
T1</t>
        </is>
      </c>
      <c r="J3" s="8" t="inlineStr">
        <is>
          <t>Death SR
T1</t>
        </is>
      </c>
      <c r="K3" s="9" t="inlineStr">
        <is>
          <t>Actual Toss
Winner ✏</t>
        </is>
      </c>
      <c r="L3" s="9" t="inlineStr">
        <is>
          <t>Toss
Decision ✏</t>
        </is>
      </c>
      <c r="M3" s="9" t="inlineStr">
        <is>
          <t>Match
Winner ✏</t>
        </is>
      </c>
      <c r="N3" s="9" t="inlineStr">
        <is>
          <t>Margin ✏</t>
        </is>
      </c>
      <c r="O3" s="9" t="inlineStr">
        <is>
          <t>Runs/Wkts ✏</t>
        </is>
      </c>
      <c r="P3" s="10" t="inlineStr">
        <is>
          <t>Biggest
Partnership ✏</t>
        </is>
      </c>
      <c r="Q3" s="10" t="inlineStr">
        <is>
          <t>Broken
By ✏</t>
        </is>
      </c>
      <c r="R3" s="10" t="inlineStr">
        <is>
          <t>Death Eco
(avg) ✏</t>
        </is>
      </c>
      <c r="S3" s="10" t="inlineStr">
        <is>
          <t>Notes / Key Moments ✏</t>
        </is>
      </c>
      <c r="T3" s="11" t="inlineStr">
        <is>
          <t>Toss
Correct?</t>
        </is>
      </c>
    </row>
    <row r="4" ht="32" customHeight="1">
      <c r="A4" s="12" t="n">
        <v>1</v>
      </c>
      <c r="B4" s="12" t="inlineStr">
        <is>
          <t>2025-04-11</t>
        </is>
      </c>
      <c r="C4" s="13" t="inlineStr">
        <is>
          <t>Lahore Qalandars</t>
        </is>
      </c>
      <c r="D4" s="14" t="inlineStr">
        <is>
          <t>Islamabad United</t>
        </is>
      </c>
      <c r="E4" s="15" t="inlineStr">
        <is>
          <t>Gaddafi Stadium, Lahore</t>
        </is>
      </c>
      <c r="F4" s="16" t="inlineStr">
        <is>
          <t>TOSS-UP</t>
        </is>
      </c>
      <c r="G4" s="87" t="inlineStr">
        <is>
          <t>Neutral (chase 41%)</t>
        </is>
      </c>
      <c r="H4" s="87" t="inlineStr">
        <is>
          <t>Fakhar Zaman, Muhammad Naeem, Abdullah Shafique</t>
        </is>
      </c>
      <c r="I4" s="18" t="inlineStr">
        <is>
          <t>145.5</t>
        </is>
      </c>
      <c r="J4" s="18" t="inlineStr">
        <is>
          <t>178.7</t>
        </is>
      </c>
      <c r="K4" s="86" t="inlineStr">
        <is>
          <t>Islamabad United</t>
        </is>
      </c>
      <c r="L4" s="86" t="inlineStr">
        <is>
          <t>field</t>
        </is>
      </c>
      <c r="M4" s="62" t="inlineStr">
        <is>
          <t>Islamabad United</t>
        </is>
      </c>
      <c r="N4" s="86" t="n">
        <v>4</v>
      </c>
      <c r="O4" s="86" t="inlineStr">
        <is>
          <t>wickets</t>
        </is>
      </c>
      <c r="P4" s="21" t="inlineStr"/>
      <c r="Q4" s="21" t="inlineStr"/>
      <c r="R4" s="21" t="inlineStr"/>
      <c r="S4" s="64" t="inlineStr">
        <is>
          <t>Muhammad Naeem T20 debut</t>
        </is>
      </c>
      <c r="T4" s="22">
        <f>IF(K4="","",IF(OR(AND(F4="BOWL FIRST",L4="field"),AND(F4="BAT FIRST",L4="bat"),F4="TOSS-UP"),"✓ CORRECT","✗ WRONG"))</f>
        <v/>
      </c>
    </row>
    <row r="5" ht="32" customHeight="1">
      <c r="A5" s="23" t="n">
        <v>2</v>
      </c>
      <c r="B5" s="23" t="inlineStr">
        <is>
          <t>2025-04-12</t>
        </is>
      </c>
      <c r="C5" s="24" t="inlineStr">
        <is>
          <t>Peshawar Zalmi</t>
        </is>
      </c>
      <c r="D5" s="25" t="inlineStr">
        <is>
          <t>Multan Sultans</t>
        </is>
      </c>
      <c r="E5" s="26" t="inlineStr">
        <is>
          <t>Rawalpindi Cricket Stadium</t>
        </is>
      </c>
      <c r="F5" s="16" t="inlineStr">
        <is>
          <t>TOSS-UP</t>
        </is>
      </c>
      <c r="G5" s="87" t="inlineStr">
        <is>
          <t>Neutral (chase 42%)</t>
        </is>
      </c>
      <c r="H5" s="87" t="inlineStr">
        <is>
          <t>Saim Ayub, Babar Azam, T Kohler-Cadmore</t>
        </is>
      </c>
      <c r="I5" s="18" t="inlineStr">
        <is>
          <t>120.1</t>
        </is>
      </c>
      <c r="J5" s="18" t="inlineStr">
        <is>
          <t>166.4</t>
        </is>
      </c>
      <c r="K5" s="86" t="inlineStr">
        <is>
          <t>Peshawar Zalmi</t>
        </is>
      </c>
      <c r="L5" s="86" t="inlineStr">
        <is>
          <t>field</t>
        </is>
      </c>
      <c r="M5" s="62" t="inlineStr">
        <is>
          <t>Quetta Gladiators</t>
        </is>
      </c>
      <c r="N5" s="86" t="n">
        <v>80</v>
      </c>
      <c r="O5" s="86" t="inlineStr">
        <is>
          <t>runs</t>
        </is>
      </c>
      <c r="P5" s="21" t="inlineStr"/>
      <c r="Q5" s="21" t="inlineStr"/>
      <c r="R5" s="21" t="inlineStr"/>
      <c r="S5" s="21" t="inlineStr"/>
      <c r="T5" s="27">
        <f>IF(K5="","",IF(OR(AND(F5="BOWL FIRST",L5="field"),AND(F5="BAT FIRST",L5="bat"),F5="TOSS-UP"),"✓ CORRECT","✗ WRONG"))</f>
        <v/>
      </c>
    </row>
    <row r="6" ht="32" customHeight="1">
      <c r="A6" s="12" t="n">
        <v>3</v>
      </c>
      <c r="B6" s="12" t="inlineStr">
        <is>
          <t>2025-04-13</t>
        </is>
      </c>
      <c r="C6" s="13" t="inlineStr">
        <is>
          <t>Multan Sultans</t>
        </is>
      </c>
      <c r="D6" s="14" t="inlineStr">
        <is>
          <t>Karachi Kings</t>
        </is>
      </c>
      <c r="E6" s="15" t="inlineStr">
        <is>
          <t>National Stadium, Karachi</t>
        </is>
      </c>
      <c r="F6" s="28" t="inlineStr">
        <is>
          <t>BOWL FIRST</t>
        </is>
      </c>
      <c r="G6" s="87" t="inlineStr">
        <is>
          <t>Dew + chase 60%</t>
        </is>
      </c>
      <c r="H6" s="87" t="inlineStr">
        <is>
          <t>Saud Shakeel, FH Allen, RR Rossouw</t>
        </is>
      </c>
      <c r="I6" s="18" t="inlineStr">
        <is>
          <t>155.3</t>
        </is>
      </c>
      <c r="J6" s="18" t="inlineStr">
        <is>
          <t>166.8</t>
        </is>
      </c>
      <c r="K6" s="86" t="inlineStr">
        <is>
          <t>Karachi Kings</t>
        </is>
      </c>
      <c r="L6" s="86" t="inlineStr">
        <is>
          <t>field</t>
        </is>
      </c>
      <c r="M6" s="62" t="inlineStr">
        <is>
          <t>Karachi Kings</t>
        </is>
      </c>
      <c r="N6" s="86" t="n">
        <v>4</v>
      </c>
      <c r="O6" s="86" t="inlineStr">
        <is>
          <t>wickets</t>
        </is>
      </c>
      <c r="P6" s="21" t="inlineStr"/>
      <c r="Q6" s="21" t="inlineStr"/>
      <c r="R6" s="21" t="inlineStr"/>
      <c r="S6" s="64" t="inlineStr">
        <is>
          <t>Fawad Ali T20 debut</t>
        </is>
      </c>
      <c r="T6" s="22">
        <f>IF(K6="","",IF(OR(AND(F6="BOWL FIRST",L6="field"),AND(F6="BAT FIRST",L6="bat"),F6="TOSS-UP"),"✓ CORRECT","✗ WRONG"))</f>
        <v/>
      </c>
    </row>
    <row r="7" ht="32" customHeight="1">
      <c r="A7" s="23" t="n">
        <v>4</v>
      </c>
      <c r="B7" s="23" t="inlineStr">
        <is>
          <t>2025-04-14</t>
        </is>
      </c>
      <c r="C7" s="24" t="inlineStr">
        <is>
          <t>Islamabad United</t>
        </is>
      </c>
      <c r="D7" s="25" t="inlineStr">
        <is>
          <t>Peshawar Zalmi</t>
        </is>
      </c>
      <c r="E7" s="26" t="inlineStr">
        <is>
          <t>Rawalpindi Cricket Stadium</t>
        </is>
      </c>
      <c r="F7" s="16" t="inlineStr">
        <is>
          <t>TOSS-UP</t>
        </is>
      </c>
      <c r="G7" s="87" t="inlineStr">
        <is>
          <t>Neutral (chase 42%)</t>
        </is>
      </c>
      <c r="H7" s="87" t="inlineStr">
        <is>
          <t>Sahibzada Farhan, AGS Gous, C Munro</t>
        </is>
      </c>
      <c r="I7" s="18" t="inlineStr">
        <is>
          <t>144.6</t>
        </is>
      </c>
      <c r="J7" s="18" t="inlineStr">
        <is>
          <t>176.6</t>
        </is>
      </c>
      <c r="K7" s="86" t="inlineStr">
        <is>
          <t>Quetta Gladiators</t>
        </is>
      </c>
      <c r="L7" s="86" t="inlineStr">
        <is>
          <t>field</t>
        </is>
      </c>
      <c r="M7" s="62" t="inlineStr">
        <is>
          <t>Lahore Qalandars</t>
        </is>
      </c>
      <c r="N7" s="86" t="n">
        <v>79</v>
      </c>
      <c r="O7" s="86" t="inlineStr">
        <is>
          <t>runs</t>
        </is>
      </c>
      <c r="P7" s="21" t="inlineStr"/>
      <c r="Q7" s="21" t="inlineStr"/>
      <c r="R7" s="21" t="inlineStr"/>
      <c r="S7" s="21" t="inlineStr"/>
      <c r="T7" s="27">
        <f>IF(K7="","",IF(OR(AND(F7="BOWL FIRST",L7="field"),AND(F7="BAT FIRST",L7="bat"),F7="TOSS-UP"),"✓ CORRECT","✗ WRONG"))</f>
        <v/>
      </c>
    </row>
    <row r="8" ht="32" customHeight="1">
      <c r="A8" s="12" t="n">
        <v>5</v>
      </c>
      <c r="B8" s="12" t="inlineStr">
        <is>
          <t>2025-04-15</t>
        </is>
      </c>
      <c r="C8" s="13" t="inlineStr">
        <is>
          <t>Lahore Qalandars</t>
        </is>
      </c>
      <c r="D8" s="14" t="inlineStr">
        <is>
          <t>Multan Sultans</t>
        </is>
      </c>
      <c r="E8" s="15" t="inlineStr">
        <is>
          <t>Gaddafi Stadium, Lahore</t>
        </is>
      </c>
      <c r="F8" s="16" t="inlineStr">
        <is>
          <t>TOSS-UP</t>
        </is>
      </c>
      <c r="G8" s="87" t="inlineStr">
        <is>
          <t>Neutral (chase 41%)</t>
        </is>
      </c>
      <c r="H8" s="87" t="inlineStr">
        <is>
          <t>Fakhar Zaman, Muhammad Naeem, Abdullah Shafique</t>
        </is>
      </c>
      <c r="I8" s="18" t="inlineStr">
        <is>
          <t>145.5</t>
        </is>
      </c>
      <c r="J8" s="18" t="inlineStr">
        <is>
          <t>178.7</t>
        </is>
      </c>
      <c r="K8" s="86" t="inlineStr">
        <is>
          <t>Islamabad United</t>
        </is>
      </c>
      <c r="L8" s="86" t="inlineStr">
        <is>
          <t>bat</t>
        </is>
      </c>
      <c r="M8" s="62" t="inlineStr">
        <is>
          <t>Islamabad United</t>
        </is>
      </c>
      <c r="N8" s="86" t="n">
        <v>102</v>
      </c>
      <c r="O8" s="86" t="inlineStr">
        <is>
          <t>runs</t>
        </is>
      </c>
      <c r="P8" s="21" t="inlineStr"/>
      <c r="Q8" s="21" t="inlineStr"/>
      <c r="R8" s="21" t="inlineStr"/>
      <c r="S8" s="21" t="inlineStr"/>
      <c r="T8" s="22">
        <f>IF(K8="","",IF(OR(AND(F8="BOWL FIRST",L8="field"),AND(F8="BAT FIRST",L8="bat"),F8="TOSS-UP"),"✓ CORRECT","✗ WRONG"))</f>
        <v/>
      </c>
    </row>
    <row r="9" ht="32" customHeight="1">
      <c r="A9" s="23" t="n">
        <v>6</v>
      </c>
      <c r="B9" s="23" t="inlineStr">
        <is>
          <t>2025-04-16</t>
        </is>
      </c>
      <c r="C9" s="24" t="inlineStr">
        <is>
          <t>Karachi Kings</t>
        </is>
      </c>
      <c r="D9" s="25" t="inlineStr">
        <is>
          <t>Islamabad United</t>
        </is>
      </c>
      <c r="E9" s="26" t="inlineStr">
        <is>
          <t>National Stadium, Karachi</t>
        </is>
      </c>
      <c r="F9" s="28" t="inlineStr">
        <is>
          <t>BOWL FIRST</t>
        </is>
      </c>
      <c r="G9" s="87" t="inlineStr">
        <is>
          <t>Dew + chase 60%</t>
        </is>
      </c>
      <c r="H9" s="87" t="inlineStr">
        <is>
          <t>TL Seifert, DA Warner, JM Vince</t>
        </is>
      </c>
      <c r="I9" s="18" t="inlineStr">
        <is>
          <t>146.2</t>
        </is>
      </c>
      <c r="J9" s="18" t="inlineStr">
        <is>
          <t>174.2</t>
        </is>
      </c>
      <c r="K9" s="86" t="inlineStr">
        <is>
          <t>Lahore Qalandars</t>
        </is>
      </c>
      <c r="L9" s="86" t="inlineStr">
        <is>
          <t>bat</t>
        </is>
      </c>
      <c r="M9" s="62" t="inlineStr">
        <is>
          <t>Lahore Qalandars</t>
        </is>
      </c>
      <c r="N9" s="86" t="n">
        <v>65</v>
      </c>
      <c r="O9" s="86" t="inlineStr">
        <is>
          <t>runs</t>
        </is>
      </c>
      <c r="P9" s="21" t="inlineStr"/>
      <c r="Q9" s="21" t="inlineStr"/>
      <c r="R9" s="21" t="inlineStr"/>
      <c r="S9" s="21" t="inlineStr"/>
      <c r="T9" s="27">
        <f>IF(K9="","",IF(OR(AND(F9="BOWL FIRST",L9="field"),AND(F9="BAT FIRST",L9="bat"),F9="TOSS-UP"),"✓ CORRECT","✗ WRONG"))</f>
        <v/>
      </c>
    </row>
    <row r="10" ht="32" customHeight="1">
      <c r="A10" s="12" t="n">
        <v>7</v>
      </c>
      <c r="B10" s="12" t="inlineStr">
        <is>
          <t>2025-04-17</t>
        </is>
      </c>
      <c r="C10" s="13" t="inlineStr">
        <is>
          <t>Islamabad United</t>
        </is>
      </c>
      <c r="D10" s="14" t="inlineStr">
        <is>
          <t>Multan Sultans</t>
        </is>
      </c>
      <c r="E10" s="15" t="inlineStr">
        <is>
          <t>Rawalpindi Cricket Stadium</t>
        </is>
      </c>
      <c r="F10" s="16" t="inlineStr">
        <is>
          <t>TOSS-UP</t>
        </is>
      </c>
      <c r="G10" s="87" t="inlineStr">
        <is>
          <t>Neutral (chase 42%)</t>
        </is>
      </c>
      <c r="H10" s="87" t="inlineStr">
        <is>
          <t>Saim Ayub, Babar Azam, T Kohler-Cadmore</t>
        </is>
      </c>
      <c r="I10" s="18" t="inlineStr">
        <is>
          <t>120.1</t>
        </is>
      </c>
      <c r="J10" s="18" t="inlineStr">
        <is>
          <t>166.4</t>
        </is>
      </c>
      <c r="K10" s="86" t="inlineStr">
        <is>
          <t>Multan Sultans</t>
        </is>
      </c>
      <c r="L10" s="86" t="inlineStr">
        <is>
          <t>field</t>
        </is>
      </c>
      <c r="M10" s="62" t="inlineStr">
        <is>
          <t>Karachi Kings</t>
        </is>
      </c>
      <c r="N10" s="86" t="n">
        <v>47</v>
      </c>
      <c r="O10" s="86" t="inlineStr">
        <is>
          <t>runs</t>
        </is>
      </c>
      <c r="P10" s="21" t="inlineStr"/>
      <c r="Q10" s="21" t="inlineStr"/>
      <c r="R10" s="21" t="inlineStr"/>
      <c r="S10" s="21" t="inlineStr"/>
      <c r="T10" s="22">
        <f>IF(K10="","",IF(OR(AND(F10="BOWL FIRST",L10="field"),AND(F10="BAT FIRST",L10="bat"),F10="TOSS-UP"),"✓ CORRECT","✗ WRONG"))</f>
        <v/>
      </c>
    </row>
    <row r="11" ht="32" customHeight="1">
      <c r="A11" s="23" t="n">
        <v>8</v>
      </c>
      <c r="B11" s="23" t="inlineStr">
        <is>
          <t>2025-04-18</t>
        </is>
      </c>
      <c r="C11" s="24" t="inlineStr">
        <is>
          <t>Multan Sultans</t>
        </is>
      </c>
      <c r="D11" s="25" t="inlineStr">
        <is>
          <t>Lahore Qalandars</t>
        </is>
      </c>
      <c r="E11" s="26" t="inlineStr">
        <is>
          <t>Multan Cricket Stadium</t>
        </is>
      </c>
      <c r="F11" s="29" t="inlineStr">
        <is>
          <t>BAT FIRST</t>
        </is>
      </c>
      <c r="G11" s="87" t="inlineStr">
        <is>
          <t>Defend win 62%</t>
        </is>
      </c>
      <c r="H11" s="87" t="inlineStr">
        <is>
          <t>Yasir Khan, Mohammad Rizwan, Usman Khan</t>
        </is>
      </c>
      <c r="I11" s="18" t="inlineStr">
        <is>
          <t>134.2</t>
        </is>
      </c>
      <c r="J11" s="18" t="inlineStr">
        <is>
          <t>161.4</t>
        </is>
      </c>
      <c r="K11" s="86" t="inlineStr">
        <is>
          <t>Karachi Kings</t>
        </is>
      </c>
      <c r="L11" s="86" t="inlineStr">
        <is>
          <t>bat</t>
        </is>
      </c>
      <c r="M11" s="62" t="inlineStr">
        <is>
          <t>Karachi Kings</t>
        </is>
      </c>
      <c r="N11" s="86" t="n">
        <v>56</v>
      </c>
      <c r="O11" s="86" t="inlineStr">
        <is>
          <t>runs</t>
        </is>
      </c>
      <c r="P11" s="21" t="inlineStr"/>
      <c r="Q11" s="21" t="inlineStr"/>
      <c r="R11" s="21" t="inlineStr"/>
      <c r="S11" s="21" t="inlineStr"/>
      <c r="T11" s="27">
        <f>IF(K11="","",IF(OR(AND(F11="BOWL FIRST",L11="field"),AND(F11="BAT FIRST",L11="bat"),F11="TOSS-UP"),"✓ CORRECT","✗ WRONG"))</f>
        <v/>
      </c>
    </row>
    <row r="12" ht="32" customHeight="1">
      <c r="A12" s="12" t="n">
        <v>9</v>
      </c>
      <c r="B12" s="12" t="inlineStr">
        <is>
          <t>2025-04-19</t>
        </is>
      </c>
      <c r="C12" s="13" t="inlineStr">
        <is>
          <t>Islamabad United</t>
        </is>
      </c>
      <c r="D12" s="14" t="inlineStr">
        <is>
          <t>Quetta Gladiators</t>
        </is>
      </c>
      <c r="E12" s="15" t="inlineStr">
        <is>
          <t>Rawalpindi Cricket Stadium</t>
        </is>
      </c>
      <c r="F12" s="16" t="inlineStr">
        <is>
          <t>TOSS-UP</t>
        </is>
      </c>
      <c r="G12" s="87" t="inlineStr">
        <is>
          <t>Neutral (chase 42%)</t>
        </is>
      </c>
      <c r="H12" s="87" t="inlineStr">
        <is>
          <t>Sahibzada Farhan, AGS Gous, C Munro</t>
        </is>
      </c>
      <c r="I12" s="18" t="inlineStr">
        <is>
          <t>144.6</t>
        </is>
      </c>
      <c r="J12" s="18" t="inlineStr">
        <is>
          <t>176.6</t>
        </is>
      </c>
      <c r="K12" s="86" t="inlineStr">
        <is>
          <t>Peshawar Zalmi</t>
        </is>
      </c>
      <c r="L12" s="86" t="inlineStr">
        <is>
          <t>bat</t>
        </is>
      </c>
      <c r="M12" s="62" t="inlineStr">
        <is>
          <t>Peshawar Zalmi</t>
        </is>
      </c>
      <c r="N12" s="86" t="n">
        <v>120</v>
      </c>
      <c r="O12" s="86" t="inlineStr">
        <is>
          <t>runs</t>
        </is>
      </c>
      <c r="P12" s="21" t="inlineStr"/>
      <c r="Q12" s="21" t="inlineStr"/>
      <c r="R12" s="21" t="inlineStr"/>
      <c r="S12" s="64" t="inlineStr">
        <is>
          <t>Largest PSL victory by runs ever</t>
        </is>
      </c>
      <c r="T12" s="22">
        <f>IF(K12="","",IF(OR(AND(F12="BOWL FIRST",L12="field"),AND(F12="BAT FIRST",L12="bat"),F12="TOSS-UP"),"✓ CORRECT","✗ WRONG"))</f>
        <v/>
      </c>
    </row>
    <row r="13" ht="32" customHeight="1">
      <c r="A13" s="23" t="n">
        <v>10</v>
      </c>
      <c r="B13" s="23" t="inlineStr">
        <is>
          <t>2025-04-20</t>
        </is>
      </c>
      <c r="C13" s="24" t="inlineStr">
        <is>
          <t>Karachi Kings</t>
        </is>
      </c>
      <c r="D13" s="25" t="inlineStr">
        <is>
          <t>Peshawar Zalmi</t>
        </is>
      </c>
      <c r="E13" s="26" t="inlineStr">
        <is>
          <t>National Stadium, Karachi</t>
        </is>
      </c>
      <c r="F13" s="28" t="inlineStr">
        <is>
          <t>BOWL FIRST</t>
        </is>
      </c>
      <c r="G13" s="87" t="inlineStr">
        <is>
          <t>Dew + chase 60%</t>
        </is>
      </c>
      <c r="H13" s="87" t="inlineStr">
        <is>
          <t>TL Seifert, DA Warner, JM Vince</t>
        </is>
      </c>
      <c r="I13" s="18" t="inlineStr">
        <is>
          <t>146.2</t>
        </is>
      </c>
      <c r="J13" s="18" t="inlineStr">
        <is>
          <t>174.2</t>
        </is>
      </c>
      <c r="K13" s="86" t="inlineStr">
        <is>
          <t>Islamabad United</t>
        </is>
      </c>
      <c r="L13" s="86" t="inlineStr">
        <is>
          <t>field</t>
        </is>
      </c>
      <c r="M13" s="62" t="inlineStr">
        <is>
          <t>Quetta Gladiators</t>
        </is>
      </c>
      <c r="N13" s="86" t="n">
        <v>6</v>
      </c>
      <c r="O13" s="86" t="inlineStr">
        <is>
          <t>wickets</t>
        </is>
      </c>
      <c r="P13" s="21" t="inlineStr"/>
      <c r="Q13" s="21" t="inlineStr"/>
      <c r="R13" s="21" t="inlineStr"/>
      <c r="S13" s="21" t="inlineStr"/>
      <c r="T13" s="27">
        <f>IF(K13="","",IF(OR(AND(F13="BOWL FIRST",L13="field"),AND(F13="BAT FIRST",L13="bat"),F13="TOSS-UP"),"✓ CORRECT","✗ WRONG"))</f>
        <v/>
      </c>
    </row>
    <row r="14" ht="32" customHeight="1">
      <c r="A14" s="12" t="n">
        <v>11</v>
      </c>
      <c r="B14" s="12" t="inlineStr">
        <is>
          <t>2025-04-21</t>
        </is>
      </c>
      <c r="C14" s="13" t="inlineStr">
        <is>
          <t>Multan Sultans</t>
        </is>
      </c>
      <c r="D14" s="14" t="inlineStr">
        <is>
          <t>Islamabad United</t>
        </is>
      </c>
      <c r="E14" s="15" t="inlineStr">
        <is>
          <t>Multan Cricket Stadium</t>
        </is>
      </c>
      <c r="F14" s="29" t="inlineStr">
        <is>
          <t>TOSS-UP</t>
        </is>
      </c>
      <c r="G14" s="87" t="inlineStr">
        <is>
          <t>Defend win 62%</t>
        </is>
      </c>
      <c r="H14" s="87" t="inlineStr">
        <is>
          <t>Yasir Khan, Mohammad Rizwan, Usman Khan</t>
        </is>
      </c>
      <c r="I14" s="18" t="inlineStr">
        <is>
          <t>134.2</t>
        </is>
      </c>
      <c r="J14" s="18" t="inlineStr">
        <is>
          <t>161.4</t>
        </is>
      </c>
      <c r="K14" s="86" t="inlineStr">
        <is>
          <t>Karachi Kings</t>
        </is>
      </c>
      <c r="L14" s="86" t="inlineStr">
        <is>
          <t>field</t>
        </is>
      </c>
      <c r="M14" s="62" t="inlineStr">
        <is>
          <t>Peshawar Zalmi</t>
        </is>
      </c>
      <c r="N14" s="86" t="n">
        <v>2</v>
      </c>
      <c r="O14" s="86" t="inlineStr">
        <is>
          <t>wickets</t>
        </is>
      </c>
      <c r="P14" s="21" t="inlineStr"/>
      <c r="Q14" s="21" t="inlineStr"/>
      <c r="R14" s="21" t="inlineStr"/>
      <c r="S14" s="21" t="inlineStr"/>
      <c r="T14" s="22">
        <f>IF(K14="","",IF(OR(AND(F14="BOWL FIRST",L14="field"),AND(F14="BAT FIRST",L14="bat"),F14="TOSS-UP"),"✓ CORRECT","✗ WRONG"))</f>
        <v/>
      </c>
    </row>
    <row r="15" ht="32" customHeight="1">
      <c r="A15" s="23" t="n">
        <v>12</v>
      </c>
      <c r="B15" s="23" t="inlineStr">
        <is>
          <t>2025-04-22</t>
        </is>
      </c>
      <c r="C15" s="24" t="inlineStr">
        <is>
          <t>Lahore Qalandars</t>
        </is>
      </c>
      <c r="D15" s="25" t="inlineStr">
        <is>
          <t>Quetta Gladiators</t>
        </is>
      </c>
      <c r="E15" s="26" t="inlineStr">
        <is>
          <t>Gaddafi Stadium, Lahore</t>
        </is>
      </c>
      <c r="F15" s="16" t="inlineStr">
        <is>
          <t>TOSS-UP</t>
        </is>
      </c>
      <c r="G15" s="87" t="inlineStr">
        <is>
          <t>Neutral (chase 41%)</t>
        </is>
      </c>
      <c r="H15" s="87" t="inlineStr">
        <is>
          <t>Fakhar Zaman, Muhammad Naeem, Abdullah Shafique</t>
        </is>
      </c>
      <c r="I15" s="18" t="inlineStr">
        <is>
          <t>145.5</t>
        </is>
      </c>
      <c r="J15" s="18" t="inlineStr">
        <is>
          <t>178.7</t>
        </is>
      </c>
      <c r="K15" s="86" t="inlineStr">
        <is>
          <t>Multan Sultans</t>
        </is>
      </c>
      <c r="L15" s="86" t="inlineStr">
        <is>
          <t>bat</t>
        </is>
      </c>
      <c r="M15" s="62" t="inlineStr">
        <is>
          <t>Multan Sultans</t>
        </is>
      </c>
      <c r="N15" s="86" t="n">
        <v>33</v>
      </c>
      <c r="O15" s="86" t="inlineStr">
        <is>
          <t>runs</t>
        </is>
      </c>
      <c r="P15" s="21" t="inlineStr"/>
      <c r="Q15" s="21" t="inlineStr"/>
      <c r="R15" s="21" t="inlineStr"/>
      <c r="S15" s="21" t="inlineStr"/>
      <c r="T15" s="27">
        <f>IF(K15="","",IF(OR(AND(F15="BOWL FIRST",L15="field"),AND(F15="BAT FIRST",L15="bat"),F15="TOSS-UP"),"✓ CORRECT","✗ WRONG"))</f>
        <v/>
      </c>
    </row>
    <row r="16" ht="32" customHeight="1">
      <c r="A16" s="12" t="n">
        <v>13</v>
      </c>
      <c r="B16" s="12" t="inlineStr">
        <is>
          <t>2025-04-23</t>
        </is>
      </c>
      <c r="C16" s="13" t="inlineStr">
        <is>
          <t>Peshawar Zalmi</t>
        </is>
      </c>
      <c r="D16" s="14" t="inlineStr">
        <is>
          <t>Karachi Kings</t>
        </is>
      </c>
      <c r="E16" s="15" t="inlineStr">
        <is>
          <t>Rawalpindi Cricket Stadium</t>
        </is>
      </c>
      <c r="F16" s="16" t="inlineStr">
        <is>
          <t>TOSS-UP</t>
        </is>
      </c>
      <c r="G16" s="87" t="inlineStr">
        <is>
          <t>Neutral (chase 42%)</t>
        </is>
      </c>
      <c r="H16" s="87" t="inlineStr">
        <is>
          <t>Saim Ayub, Babar Azam, T Kohler-Cadmore</t>
        </is>
      </c>
      <c r="I16" s="18" t="inlineStr">
        <is>
          <t>120.1</t>
        </is>
      </c>
      <c r="J16" s="18" t="inlineStr">
        <is>
          <t>166.4</t>
        </is>
      </c>
      <c r="K16" s="86" t="inlineStr">
        <is>
          <t>Multan Sultans</t>
        </is>
      </c>
      <c r="L16" s="86" t="inlineStr">
        <is>
          <t>bat</t>
        </is>
      </c>
      <c r="M16" s="62" t="inlineStr">
        <is>
          <t>Quetta Gladiators</t>
        </is>
      </c>
      <c r="N16" s="86" t="n">
        <v>7</v>
      </c>
      <c r="O16" s="86" t="inlineStr">
        <is>
          <t>wickets</t>
        </is>
      </c>
      <c r="P16" s="21" t="inlineStr"/>
      <c r="Q16" s="21" t="inlineStr"/>
      <c r="R16" s="21" t="inlineStr"/>
      <c r="S16" s="21" t="inlineStr"/>
      <c r="T16" s="22">
        <f>IF(K16="","",IF(OR(AND(F16="BOWL FIRST",L16="field"),AND(F16="BAT FIRST",L16="bat"),F16="TOSS-UP"),"✓ CORRECT","✗ WRONG"))</f>
        <v/>
      </c>
    </row>
    <row r="17" ht="32" customHeight="1">
      <c r="A17" s="23" t="n">
        <v>14</v>
      </c>
      <c r="B17" s="23" t="inlineStr">
        <is>
          <t>2025-04-24</t>
        </is>
      </c>
      <c r="C17" s="24" t="inlineStr">
        <is>
          <t>Islamabad United</t>
        </is>
      </c>
      <c r="D17" s="25" t="inlineStr">
        <is>
          <t>Lahore Qalandars</t>
        </is>
      </c>
      <c r="E17" s="26" t="inlineStr">
        <is>
          <t>Rawalpindi Cricket Stadium</t>
        </is>
      </c>
      <c r="F17" s="16" t="inlineStr">
        <is>
          <t>TOSS-UP</t>
        </is>
      </c>
      <c r="G17" s="87" t="inlineStr">
        <is>
          <t>Neutral (chase 42%)</t>
        </is>
      </c>
      <c r="H17" s="87" t="inlineStr">
        <is>
          <t>Sahibzada Farhan, AGS Gous, C Munro</t>
        </is>
      </c>
      <c r="I17" s="18" t="inlineStr">
        <is>
          <t>144.6</t>
        </is>
      </c>
      <c r="J17" s="18" t="inlineStr">
        <is>
          <t>176.6</t>
        </is>
      </c>
      <c r="K17" s="86" t="inlineStr">
        <is>
          <t>Peshawar Zalmi</t>
        </is>
      </c>
      <c r="L17" s="86" t="inlineStr">
        <is>
          <t>field</t>
        </is>
      </c>
      <c r="M17" s="62" t="inlineStr">
        <is>
          <t>Peshawar Zalmi</t>
        </is>
      </c>
      <c r="N17" s="86" t="n">
        <v>7</v>
      </c>
      <c r="O17" s="86" t="inlineStr">
        <is>
          <t>wickets</t>
        </is>
      </c>
      <c r="P17" s="21" t="inlineStr"/>
      <c r="Q17" s="21" t="inlineStr"/>
      <c r="R17" s="21" t="inlineStr"/>
      <c r="S17" s="21" t="inlineStr"/>
      <c r="T17" s="27">
        <f>IF(K17="","",IF(OR(AND(F17="BOWL FIRST",L17="field"),AND(F17="BAT FIRST",L17="bat"),F17="TOSS-UP"),"✓ CORRECT","✗ WRONG"))</f>
        <v/>
      </c>
    </row>
    <row r="18" ht="32" customHeight="1">
      <c r="A18" s="12" t="n">
        <v>15</v>
      </c>
      <c r="B18" s="12" t="inlineStr">
        <is>
          <t>2025-04-25</t>
        </is>
      </c>
      <c r="C18" s="13" t="inlineStr">
        <is>
          <t>Quetta Gladiators</t>
        </is>
      </c>
      <c r="D18" s="14" t="inlineStr">
        <is>
          <t>Multan Sultans</t>
        </is>
      </c>
      <c r="E18" s="15" t="inlineStr">
        <is>
          <t>National Stadium, Karachi</t>
        </is>
      </c>
      <c r="F18" s="28" t="inlineStr">
        <is>
          <t>BOWL FIRST</t>
        </is>
      </c>
      <c r="G18" s="87" t="inlineStr">
        <is>
          <t>Dew + chase 60%</t>
        </is>
      </c>
      <c r="H18" s="87" t="inlineStr">
        <is>
          <t>Saud Shakeel, FH Allen, RR Rossouw</t>
        </is>
      </c>
      <c r="I18" s="18" t="inlineStr">
        <is>
          <t>155.3</t>
        </is>
      </c>
      <c r="J18" s="18" t="inlineStr">
        <is>
          <t>166.8</t>
        </is>
      </c>
      <c r="K18" s="86" t="inlineStr">
        <is>
          <t>Karachi Kings</t>
        </is>
      </c>
      <c r="L18" s="86" t="inlineStr">
        <is>
          <t>field</t>
        </is>
      </c>
      <c r="M18" s="62" t="inlineStr">
        <is>
          <t>Karachi Kings</t>
        </is>
      </c>
      <c r="N18" s="86" t="n">
        <v>5</v>
      </c>
      <c r="O18" s="86" t="inlineStr">
        <is>
          <t>runs</t>
        </is>
      </c>
      <c r="P18" s="21" t="inlineStr"/>
      <c r="Q18" s="21" t="inlineStr"/>
      <c r="R18" s="21" t="inlineStr"/>
      <c r="S18" s="21" t="inlineStr"/>
      <c r="T18" s="22">
        <f>IF(K18="","",IF(OR(AND(F18="BOWL FIRST",L18="field"),AND(F18="BAT FIRST",L18="bat"),F18="TOSS-UP"),"✓ CORRECT","✗ WRONG"))</f>
        <v/>
      </c>
    </row>
    <row r="19" ht="32" customHeight="1">
      <c r="A19" s="23" t="n">
        <v>16</v>
      </c>
      <c r="B19" s="23" t="inlineStr">
        <is>
          <t>2025-04-26</t>
        </is>
      </c>
      <c r="C19" s="24" t="inlineStr">
        <is>
          <t>Karachi Kings</t>
        </is>
      </c>
      <c r="D19" s="25" t="inlineStr">
        <is>
          <t>Lahore Qalandars</t>
        </is>
      </c>
      <c r="E19" s="26" t="inlineStr">
        <is>
          <t>National Stadium, Karachi</t>
        </is>
      </c>
      <c r="F19" s="28" t="inlineStr">
        <is>
          <t>BOWL FIRST</t>
        </is>
      </c>
      <c r="G19" s="87" t="inlineStr">
        <is>
          <t>Dew + chase 60%</t>
        </is>
      </c>
      <c r="H19" s="87" t="inlineStr">
        <is>
          <t>TL Seifert, DA Warner, JM Vince</t>
        </is>
      </c>
      <c r="I19" s="18" t="inlineStr">
        <is>
          <t>146.2</t>
        </is>
      </c>
      <c r="J19" s="18" t="inlineStr">
        <is>
          <t>174.2</t>
        </is>
      </c>
      <c r="K19" s="86" t="inlineStr">
        <is>
          <t>Lahore Qalandars</t>
        </is>
      </c>
      <c r="L19" s="86" t="inlineStr">
        <is>
          <t>field</t>
        </is>
      </c>
      <c r="M19" s="62" t="inlineStr">
        <is>
          <t>Karachi Kings</t>
        </is>
      </c>
      <c r="N19" s="86" t="n">
        <v>5</v>
      </c>
      <c r="O19" s="86" t="inlineStr">
        <is>
          <t>wickets</t>
        </is>
      </c>
      <c r="P19" s="21" t="inlineStr"/>
      <c r="Q19" s="21" t="inlineStr"/>
      <c r="R19" s="21" t="inlineStr"/>
      <c r="S19" s="21" t="inlineStr"/>
      <c r="T19" s="27">
        <f>IF(K19="","",IF(OR(AND(F19="BOWL FIRST",L19="field"),AND(F19="BAT FIRST",L19="bat"),F19="TOSS-UP"),"✓ CORRECT","✗ WRONG"))</f>
        <v/>
      </c>
    </row>
    <row r="20" ht="32" customHeight="1">
      <c r="A20" s="12" t="n">
        <v>17</v>
      </c>
      <c r="B20" s="12" t="inlineStr">
        <is>
          <t>2025-04-27</t>
        </is>
      </c>
      <c r="C20" s="13" t="inlineStr">
        <is>
          <t>Islamabad United</t>
        </is>
      </c>
      <c r="D20" s="14" t="inlineStr">
        <is>
          <t>Multan Sultans</t>
        </is>
      </c>
      <c r="E20" s="15" t="inlineStr">
        <is>
          <t>Rawalpindi Cricket Stadium</t>
        </is>
      </c>
      <c r="F20" s="16" t="inlineStr">
        <is>
          <t>TOSS-UP</t>
        </is>
      </c>
      <c r="G20" s="87" t="inlineStr">
        <is>
          <t>Neutral (chase 42%)</t>
        </is>
      </c>
      <c r="H20" s="87" t="inlineStr">
        <is>
          <t>Sahibzada Farhan, AGS Gous, C Munro</t>
        </is>
      </c>
      <c r="I20" s="18" t="inlineStr">
        <is>
          <t>144.6</t>
        </is>
      </c>
      <c r="J20" s="18" t="inlineStr">
        <is>
          <t>176.6</t>
        </is>
      </c>
      <c r="K20" s="86" t="inlineStr">
        <is>
          <t>Peshawar Zalmi</t>
        </is>
      </c>
      <c r="L20" s="86" t="inlineStr">
        <is>
          <t>field</t>
        </is>
      </c>
      <c r="M20" s="62" t="inlineStr">
        <is>
          <t>Peshawar Zalmi</t>
        </is>
      </c>
      <c r="N20" s="86" t="n">
        <v>64</v>
      </c>
      <c r="O20" s="86" t="inlineStr">
        <is>
          <t>runs</t>
        </is>
      </c>
      <c r="P20" s="21" t="inlineStr"/>
      <c r="Q20" s="21" t="inlineStr"/>
      <c r="R20" s="21" t="inlineStr"/>
      <c r="S20" s="21" t="inlineStr"/>
      <c r="T20" s="22">
        <f>IF(K20="","",IF(OR(AND(F20="BOWL FIRST",L20="field"),AND(F20="BAT FIRST",L20="bat"),F20="TOSS-UP"),"✓ CORRECT","✗ WRONG"))</f>
        <v/>
      </c>
    </row>
    <row r="21" ht="32" customHeight="1">
      <c r="A21" s="23" t="n">
        <v>18</v>
      </c>
      <c r="B21" s="23" t="inlineStr">
        <is>
          <t>2025-04-28</t>
        </is>
      </c>
      <c r="C21" s="24" t="inlineStr">
        <is>
          <t>Quetta Gladiators</t>
        </is>
      </c>
      <c r="D21" s="25" t="inlineStr">
        <is>
          <t>Peshawar Zalmi</t>
        </is>
      </c>
      <c r="E21" s="26" t="inlineStr">
        <is>
          <t>Gaddafi Stadium, Lahore</t>
        </is>
      </c>
      <c r="F21" s="16" t="inlineStr">
        <is>
          <t>TOSS-UP</t>
        </is>
      </c>
      <c r="G21" s="87" t="inlineStr">
        <is>
          <t>Neutral (chase 41%)</t>
        </is>
      </c>
      <c r="H21" s="87" t="inlineStr">
        <is>
          <t>Saud Shakeel, FH Allen, RR Rossouw</t>
        </is>
      </c>
      <c r="I21" s="18" t="inlineStr">
        <is>
          <t>155.3</t>
        </is>
      </c>
      <c r="J21" s="18" t="inlineStr">
        <is>
          <t>166.8</t>
        </is>
      </c>
      <c r="K21" s="86" t="inlineStr">
        <is>
          <t>Quetta Gladiators</t>
        </is>
      </c>
      <c r="L21" s="86" t="inlineStr">
        <is>
          <t>field</t>
        </is>
      </c>
      <c r="M21" s="62" t="inlineStr">
        <is>
          <t>Multan Sultans</t>
        </is>
      </c>
      <c r="N21" s="86" t="n">
        <v>10</v>
      </c>
      <c r="O21" s="86" t="inlineStr">
        <is>
          <t>wickets</t>
        </is>
      </c>
      <c r="P21" s="21" t="inlineStr"/>
      <c r="Q21" s="21" t="inlineStr"/>
      <c r="R21" s="21" t="inlineStr"/>
      <c r="S21" s="64" t="inlineStr">
        <is>
          <t>Rizwan first to carry bat in PSL history</t>
        </is>
      </c>
      <c r="T21" s="27">
        <f>IF(K21="","",IF(OR(AND(F21="BOWL FIRST",L21="field"),AND(F21="BAT FIRST",L21="bat"),F21="TOSS-UP"),"✓ CORRECT","✗ WRONG"))</f>
        <v/>
      </c>
    </row>
    <row r="22" ht="32" customHeight="1">
      <c r="A22" s="12" t="n">
        <v>19</v>
      </c>
      <c r="B22" s="12" t="inlineStr">
        <is>
          <t>2025-04-29</t>
        </is>
      </c>
      <c r="C22" s="13" t="inlineStr">
        <is>
          <t>Karachi Kings</t>
        </is>
      </c>
      <c r="D22" s="14" t="inlineStr">
        <is>
          <t>Multan Sultans</t>
        </is>
      </c>
      <c r="E22" s="15" t="inlineStr">
        <is>
          <t>National Stadium, Karachi</t>
        </is>
      </c>
      <c r="F22" s="28" t="inlineStr">
        <is>
          <t>BOWL FIRST</t>
        </is>
      </c>
      <c r="G22" s="87" t="inlineStr">
        <is>
          <t>Dew + chase 60%</t>
        </is>
      </c>
      <c r="H22" s="87" t="inlineStr">
        <is>
          <t>TL Seifert, DA Warner, JM Vince</t>
        </is>
      </c>
      <c r="I22" s="18" t="inlineStr">
        <is>
          <t>146.2</t>
        </is>
      </c>
      <c r="J22" s="18" t="inlineStr">
        <is>
          <t>174.2</t>
        </is>
      </c>
      <c r="K22" s="86" t="inlineStr">
        <is>
          <t>Islamabad United</t>
        </is>
      </c>
      <c r="L22" s="86" t="inlineStr">
        <is>
          <t>field</t>
        </is>
      </c>
      <c r="M22" s="62" t="inlineStr">
        <is>
          <t>Islamabad United</t>
        </is>
      </c>
      <c r="N22" s="86" t="n">
        <v>88</v>
      </c>
      <c r="O22" s="86" t="inlineStr">
        <is>
          <t>runs</t>
        </is>
      </c>
      <c r="P22" s="21" t="inlineStr"/>
      <c r="Q22" s="21" t="inlineStr"/>
      <c r="R22" s="21" t="inlineStr"/>
      <c r="S22" s="21" t="inlineStr"/>
      <c r="T22" s="22">
        <f>IF(K22="","",IF(OR(AND(F22="BOWL FIRST",L22="field"),AND(F22="BAT FIRST",L22="bat"),F22="TOSS-UP"),"✓ CORRECT","✗ WRONG"))</f>
        <v/>
      </c>
    </row>
    <row r="23" ht="32" customHeight="1">
      <c r="A23" s="23" t="n">
        <v>20</v>
      </c>
      <c r="B23" s="23" t="inlineStr">
        <is>
          <t>2025-04-30</t>
        </is>
      </c>
      <c r="C23" s="24" t="inlineStr">
        <is>
          <t>Lahore Qalandars</t>
        </is>
      </c>
      <c r="D23" s="25" t="inlineStr">
        <is>
          <t>Peshawar Zalmi</t>
        </is>
      </c>
      <c r="E23" s="26" t="inlineStr">
        <is>
          <t>Gaddafi Stadium, Lahore</t>
        </is>
      </c>
      <c r="F23" s="16" t="inlineStr">
        <is>
          <t>TOSS-UP</t>
        </is>
      </c>
      <c r="G23" s="87" t="inlineStr">
        <is>
          <t>Neutral (chase 41%)</t>
        </is>
      </c>
      <c r="H23" s="87" t="inlineStr">
        <is>
          <t>Fakhar Zaman, Muhammad Naeem, Abdullah Shafique</t>
        </is>
      </c>
      <c r="I23" s="18" t="inlineStr">
        <is>
          <t>145.5</t>
        </is>
      </c>
      <c r="J23" s="18" t="inlineStr">
        <is>
          <t>178.7</t>
        </is>
      </c>
      <c r="K23" s="86" t="inlineStr">
        <is>
          <t>Lahore Qalandars</t>
        </is>
      </c>
      <c r="L23" s="86" t="inlineStr">
        <is>
          <t>bat</t>
        </is>
      </c>
      <c r="M23" s="62" t="inlineStr">
        <is>
          <t>Peshawar Zalmi</t>
        </is>
      </c>
      <c r="N23" s="86" t="n">
        <v>87</v>
      </c>
      <c r="O23" s="86" t="inlineStr">
        <is>
          <t>runs</t>
        </is>
      </c>
      <c r="P23" s="21" t="inlineStr"/>
      <c r="Q23" s="21" t="inlineStr"/>
      <c r="R23" s="21" t="inlineStr"/>
      <c r="S23" s="64" t="inlineStr">
        <is>
          <t>Toss not in Wikipedia - check scorecard</t>
        </is>
      </c>
      <c r="T23" s="27">
        <f>IF(K23="","",IF(OR(AND(F23="BOWL FIRST",L23="field"),AND(F23="BAT FIRST",L23="bat"),F23="TOSS-UP"),"✓ CORRECT","✗ WRONG"))</f>
        <v/>
      </c>
    </row>
    <row r="24" ht="32" customHeight="1">
      <c r="A24" s="12" t="n">
        <v>21</v>
      </c>
      <c r="B24" s="12" t="inlineStr">
        <is>
          <t>2025-05-01</t>
        </is>
      </c>
      <c r="C24" s="13" t="inlineStr">
        <is>
          <t>Islamabad United</t>
        </is>
      </c>
      <c r="D24" s="14" t="inlineStr">
        <is>
          <t>Karachi Kings</t>
        </is>
      </c>
      <c r="E24" s="15" t="inlineStr">
        <is>
          <t>Rawalpindi Cricket Stadium</t>
        </is>
      </c>
      <c r="F24" s="16" t="inlineStr">
        <is>
          <t>TOSS-UP</t>
        </is>
      </c>
      <c r="G24" s="87" t="inlineStr">
        <is>
          <t>Neutral (chase 42%)</t>
        </is>
      </c>
      <c r="H24" s="87" t="inlineStr">
        <is>
          <t>Sahibzada Farhan, AGS Gous, C Munro</t>
        </is>
      </c>
      <c r="I24" s="18" t="inlineStr">
        <is>
          <t>144.6</t>
        </is>
      </c>
      <c r="J24" s="18" t="inlineStr">
        <is>
          <t>176.6</t>
        </is>
      </c>
      <c r="K24" s="86" t="inlineStr">
        <is>
          <t>Quetta Gladiators</t>
        </is>
      </c>
      <c r="L24" s="86" t="inlineStr">
        <is>
          <t>field</t>
        </is>
      </c>
      <c r="M24" s="62" t="inlineStr">
        <is>
          <t>No Result</t>
        </is>
      </c>
      <c r="N24" s="86" t="n">
        <v>0</v>
      </c>
      <c r="O24" s="88" t="inlineStr">
        <is>
          <t>NR</t>
        </is>
      </c>
      <c r="P24" s="21" t="inlineStr"/>
      <c r="Q24" s="21" t="inlineStr"/>
      <c r="R24" s="21" t="inlineStr"/>
      <c r="S24" s="64" t="inlineStr">
        <is>
          <t>Rain - no result after 11.3 overs</t>
        </is>
      </c>
      <c r="T24" s="22">
        <f>IF(K24="","",IF(OR(AND(F24="BOWL FIRST",L24="field"),AND(F24="BAT FIRST",L24="bat"),F24="TOSS-UP"),"✓ CORRECT","✗ WRONG"))</f>
        <v/>
      </c>
    </row>
    <row r="25" ht="32" customHeight="1">
      <c r="A25" s="23" t="n">
        <v>22</v>
      </c>
      <c r="B25" s="23" t="inlineStr">
        <is>
          <t>2025-05-02</t>
        </is>
      </c>
      <c r="C25" s="24" t="inlineStr">
        <is>
          <t>Multan Sultans</t>
        </is>
      </c>
      <c r="D25" s="25" t="inlineStr">
        <is>
          <t>Quetta Gladiators</t>
        </is>
      </c>
      <c r="E25" s="26" t="inlineStr">
        <is>
          <t>Multan Cricket Stadium</t>
        </is>
      </c>
      <c r="F25" s="29" t="inlineStr">
        <is>
          <t>BAT FIRST</t>
        </is>
      </c>
      <c r="G25" s="87" t="inlineStr">
        <is>
          <t>Defend win 62%</t>
        </is>
      </c>
      <c r="H25" s="87" t="inlineStr">
        <is>
          <t>Yasir Khan, Mohammad Rizwan, Usman Khan</t>
        </is>
      </c>
      <c r="I25" s="18" t="inlineStr">
        <is>
          <t>134.2</t>
        </is>
      </c>
      <c r="J25" s="18" t="inlineStr">
        <is>
          <t>161.4</t>
        </is>
      </c>
      <c r="K25" s="86" t="inlineStr">
        <is>
          <t>Islamabad United</t>
        </is>
      </c>
      <c r="L25" s="86" t="inlineStr">
        <is>
          <t>bat</t>
        </is>
      </c>
      <c r="M25" s="62" t="inlineStr">
        <is>
          <t>Lahore Qalandars</t>
        </is>
      </c>
      <c r="N25" s="86" t="n">
        <v>6</v>
      </c>
      <c r="O25" s="86" t="inlineStr">
        <is>
          <t>wickets</t>
        </is>
      </c>
      <c r="P25" s="21" t="inlineStr"/>
      <c r="Q25" s="21" t="inlineStr"/>
      <c r="R25" s="21" t="inlineStr"/>
      <c r="S25" s="21" t="inlineStr"/>
      <c r="T25" s="27">
        <f>IF(K25="","",IF(OR(AND(F25="BOWL FIRST",L25="field"),AND(F25="BAT FIRST",L25="bat"),F25="TOSS-UP"),"✓ CORRECT","✗ WRONG"))</f>
        <v/>
      </c>
    </row>
    <row r="26" ht="32" customHeight="1">
      <c r="A26" s="12" t="n">
        <v>23</v>
      </c>
      <c r="B26" s="12" t="inlineStr">
        <is>
          <t>2025-05-03</t>
        </is>
      </c>
      <c r="C26" s="13" t="inlineStr">
        <is>
          <t>Peshawar Zalmi</t>
        </is>
      </c>
      <c r="D26" s="14" t="inlineStr">
        <is>
          <t>Lahore Qalandars</t>
        </is>
      </c>
      <c r="E26" s="15" t="inlineStr">
        <is>
          <t>Rawalpindi Cricket Stadium</t>
        </is>
      </c>
      <c r="F26" s="16" t="inlineStr">
        <is>
          <t>TOSS-UP</t>
        </is>
      </c>
      <c r="G26" s="87" t="inlineStr">
        <is>
          <t>Neutral (chase 42%)</t>
        </is>
      </c>
      <c r="H26" s="87" t="inlineStr">
        <is>
          <t>Saim Ayub, Babar Azam, T Kohler-Cadmore</t>
        </is>
      </c>
      <c r="I26" s="18" t="inlineStr">
        <is>
          <t>120.1</t>
        </is>
      </c>
      <c r="J26" s="18" t="inlineStr">
        <is>
          <t>166.4</t>
        </is>
      </c>
      <c r="K26" s="86" t="inlineStr">
        <is>
          <t>Quetta Gladiators</t>
        </is>
      </c>
      <c r="L26" s="86" t="inlineStr">
        <is>
          <t>field</t>
        </is>
      </c>
      <c r="M26" s="62" t="inlineStr">
        <is>
          <t>Karachi Kings</t>
        </is>
      </c>
      <c r="N26" s="86" t="n">
        <v>2</v>
      </c>
      <c r="O26" s="86" t="inlineStr">
        <is>
          <t>wickets</t>
        </is>
      </c>
      <c r="P26" s="21" t="inlineStr"/>
      <c r="Q26" s="21" t="inlineStr"/>
      <c r="R26" s="21" t="inlineStr"/>
      <c r="S26" s="64" t="inlineStr">
        <is>
          <t>Quetta qualified for playoffs</t>
        </is>
      </c>
      <c r="T26" s="22">
        <f>IF(K26="","",IF(OR(AND(F26="BOWL FIRST",L26="field"),AND(F26="BAT FIRST",L26="bat"),F26="TOSS-UP"),"✓ CORRECT","✗ WRONG"))</f>
        <v/>
      </c>
    </row>
    <row r="27" ht="32" customHeight="1">
      <c r="A27" s="23" t="n">
        <v>24</v>
      </c>
      <c r="B27" s="23" t="inlineStr">
        <is>
          <t>2025-05-04</t>
        </is>
      </c>
      <c r="C27" s="24" t="inlineStr">
        <is>
          <t>Quetta Gladiators</t>
        </is>
      </c>
      <c r="D27" s="25" t="inlineStr">
        <is>
          <t>Islamabad United</t>
        </is>
      </c>
      <c r="E27" s="26" t="inlineStr">
        <is>
          <t>Gaddafi Stadium, Lahore</t>
        </is>
      </c>
      <c r="F27" s="16" t="inlineStr">
        <is>
          <t>TOSS-UP</t>
        </is>
      </c>
      <c r="G27" s="87" t="inlineStr">
        <is>
          <t>Neutral (chase 41%)</t>
        </is>
      </c>
      <c r="H27" s="87" t="inlineStr">
        <is>
          <t>Saud Shakeel, FH Allen, RR Rossouw</t>
        </is>
      </c>
      <c r="I27" s="18" t="inlineStr">
        <is>
          <t>155.3</t>
        </is>
      </c>
      <c r="J27" s="18" t="inlineStr">
        <is>
          <t>166.8</t>
        </is>
      </c>
      <c r="K27" s="86" t="inlineStr">
        <is>
          <t>Karachi Kings</t>
        </is>
      </c>
      <c r="L27" s="86" t="inlineStr">
        <is>
          <t>field</t>
        </is>
      </c>
      <c r="M27" s="62" t="inlineStr">
        <is>
          <t>Peshawar Zalmi</t>
        </is>
      </c>
      <c r="N27" s="86" t="n">
        <v>8</v>
      </c>
      <c r="O27" s="86" t="inlineStr">
        <is>
          <t>wickets</t>
        </is>
      </c>
      <c r="P27" s="21" t="inlineStr"/>
      <c r="Q27" s="21" t="inlineStr"/>
      <c r="R27" s="21" t="inlineStr"/>
      <c r="S27" s="64" t="inlineStr">
        <is>
          <t>Rain - reduced to 15 overs</t>
        </is>
      </c>
      <c r="T27" s="27">
        <f>IF(K27="","",IF(OR(AND(F27="BOWL FIRST",L27="field"),AND(F27="BAT FIRST",L27="bat"),F27="TOSS-UP"),"✓ CORRECT","✗ WRONG"))</f>
        <v/>
      </c>
    </row>
    <row r="28" ht="32" customHeight="1">
      <c r="A28" s="12" t="n">
        <v>25</v>
      </c>
      <c r="B28" s="12" t="inlineStr">
        <is>
          <t>2025-05-05</t>
        </is>
      </c>
      <c r="C28" s="13" t="inlineStr">
        <is>
          <t>Multan Sultans</t>
        </is>
      </c>
      <c r="D28" s="14" t="inlineStr">
        <is>
          <t>Karachi Kings</t>
        </is>
      </c>
      <c r="E28" s="15" t="inlineStr">
        <is>
          <t>Multan Cricket Stadium</t>
        </is>
      </c>
      <c r="F28" s="29" t="inlineStr">
        <is>
          <t>BAT FIRST</t>
        </is>
      </c>
      <c r="G28" s="87" t="inlineStr">
        <is>
          <t>Defend win 62%</t>
        </is>
      </c>
      <c r="H28" s="87" t="inlineStr">
        <is>
          <t>Yasir Khan, Mohammad Rizwan, Usman Khan</t>
        </is>
      </c>
      <c r="I28" s="18" t="inlineStr">
        <is>
          <t>134.2</t>
        </is>
      </c>
      <c r="J28" s="18" t="inlineStr">
        <is>
          <t>161.4</t>
        </is>
      </c>
      <c r="K28" s="86" t="inlineStr">
        <is>
          <t>Multan Sultans</t>
        </is>
      </c>
      <c r="L28" s="86" t="inlineStr">
        <is>
          <t>bat</t>
        </is>
      </c>
      <c r="M28" s="62" t="inlineStr">
        <is>
          <t>Lahore Qalandars</t>
        </is>
      </c>
      <c r="N28" s="86" t="n">
        <v>7</v>
      </c>
      <c r="O28" s="86" t="inlineStr">
        <is>
          <t>wickets</t>
        </is>
      </c>
      <c r="P28" s="21" t="inlineStr"/>
      <c r="Q28" s="21" t="inlineStr"/>
      <c r="R28" s="21" t="inlineStr"/>
      <c r="S28" s="21" t="inlineStr"/>
      <c r="T28" s="22">
        <f>IF(K28="","",IF(OR(AND(F28="BOWL FIRST",L28="field"),AND(F28="BAT FIRST",L28="bat"),F28="TOSS-UP"),"✓ CORRECT","✗ WRONG"))</f>
        <v/>
      </c>
    </row>
    <row r="29" ht="32" customHeight="1">
      <c r="A29" s="23" t="n">
        <v>26</v>
      </c>
      <c r="B29" s="23" t="inlineStr">
        <is>
          <t>2025-05-06</t>
        </is>
      </c>
      <c r="C29" s="24" t="inlineStr">
        <is>
          <t>Lahore Qalandars</t>
        </is>
      </c>
      <c r="D29" s="25" t="inlineStr">
        <is>
          <t>Karachi Kings</t>
        </is>
      </c>
      <c r="E29" s="26" t="inlineStr">
        <is>
          <t>Gaddafi Stadium, Lahore</t>
        </is>
      </c>
      <c r="F29" s="16" t="inlineStr">
        <is>
          <t>TOSS-UP</t>
        </is>
      </c>
      <c r="G29" s="87" t="inlineStr">
        <is>
          <t>Neutral (chase 41%)</t>
        </is>
      </c>
      <c r="H29" s="87" t="inlineStr">
        <is>
          <t>Fakhar Zaman, Muhammad Naeem, Abdullah Shafique</t>
        </is>
      </c>
      <c r="I29" s="18" t="inlineStr">
        <is>
          <t>145.5</t>
        </is>
      </c>
      <c r="J29" s="18" t="inlineStr">
        <is>
          <t>178.7</t>
        </is>
      </c>
      <c r="K29" s="86" t="inlineStr">
        <is>
          <t>Islamabad United</t>
        </is>
      </c>
      <c r="L29" s="86" t="inlineStr">
        <is>
          <t>field</t>
        </is>
      </c>
      <c r="M29" s="62" t="inlineStr">
        <is>
          <t>Islamabad United</t>
        </is>
      </c>
      <c r="N29" s="86" t="n">
        <v>109</v>
      </c>
      <c r="O29" s="86" t="inlineStr">
        <is>
          <t>runs</t>
        </is>
      </c>
      <c r="P29" s="21" t="inlineStr"/>
      <c r="Q29" s="21" t="inlineStr"/>
      <c r="R29" s="21" t="inlineStr"/>
      <c r="S29" s="64" t="inlineStr">
        <is>
          <t>Rossouw+Nawaz centuries - highest PSL total ever 263/3</t>
        </is>
      </c>
      <c r="T29" s="27">
        <f>IF(K29="","",IF(OR(AND(F29="BOWL FIRST",L29="field"),AND(F29="BAT FIRST",L29="bat"),F29="TOSS-UP"),"✓ CORRECT","✗ WRONG"))</f>
        <v/>
      </c>
    </row>
    <row r="30" ht="32" customHeight="1">
      <c r="A30" s="12" t="n">
        <v>27</v>
      </c>
      <c r="B30" s="12" t="inlineStr">
        <is>
          <t>2025-05-07</t>
        </is>
      </c>
      <c r="C30" s="13" t="inlineStr">
        <is>
          <t>Peshawar Zalmi</t>
        </is>
      </c>
      <c r="D30" s="14" t="inlineStr">
        <is>
          <t>Islamabad United</t>
        </is>
      </c>
      <c r="E30" s="15" t="inlineStr">
        <is>
          <t>Rawalpindi Cricket Stadium</t>
        </is>
      </c>
      <c r="F30" s="16" t="inlineStr">
        <is>
          <t>TOSS-UP</t>
        </is>
      </c>
      <c r="G30" s="87" t="inlineStr">
        <is>
          <t>Neutral (chase 42%)</t>
        </is>
      </c>
      <c r="H30" s="87" t="inlineStr">
        <is>
          <t>Saim Ayub, Babar Azam, T Kohler-Cadmore</t>
        </is>
      </c>
      <c r="I30" s="18" t="inlineStr">
        <is>
          <t>120.1</t>
        </is>
      </c>
      <c r="J30" s="18" t="inlineStr">
        <is>
          <t>166.4</t>
        </is>
      </c>
      <c r="K30" s="86" t="inlineStr">
        <is>
          <t>Peshawar Zalmi</t>
        </is>
      </c>
      <c r="L30" s="86" t="inlineStr">
        <is>
          <t>field</t>
        </is>
      </c>
      <c r="M30" s="62" t="inlineStr">
        <is>
          <t>Peshawar Zalmi</t>
        </is>
      </c>
      <c r="N30" s="86" t="n">
        <v>23</v>
      </c>
      <c r="O30" s="86" t="inlineStr">
        <is>
          <t>runs</t>
        </is>
      </c>
      <c r="P30" s="21" t="inlineStr"/>
      <c r="Q30" s="21" t="inlineStr"/>
      <c r="R30" s="21" t="inlineStr"/>
      <c r="S30" s="64" t="inlineStr">
        <is>
          <t>Postponed/resumed after conflict</t>
        </is>
      </c>
      <c r="T30" s="22">
        <f>IF(K30="","",IF(OR(AND(F30="BOWL FIRST",L30="field"),AND(F30="BAT FIRST",L30="bat"),F30="TOSS-UP"),"✓ CORRECT","✗ WRONG"))</f>
        <v/>
      </c>
    </row>
    <row r="31" ht="32" customHeight="1">
      <c r="A31" s="23" t="n">
        <v>28</v>
      </c>
      <c r="B31" s="23" t="inlineStr">
        <is>
          <t>2025-05-08</t>
        </is>
      </c>
      <c r="C31" s="24" t="inlineStr">
        <is>
          <t>Quetta Gladiators</t>
        </is>
      </c>
      <c r="D31" s="25" t="inlineStr">
        <is>
          <t>Lahore Qalandars</t>
        </is>
      </c>
      <c r="E31" s="26" t="inlineStr">
        <is>
          <t>Gaddafi Stadium, Lahore</t>
        </is>
      </c>
      <c r="F31" s="16" t="inlineStr">
        <is>
          <t>TOSS-UP</t>
        </is>
      </c>
      <c r="G31" s="87" t="inlineStr">
        <is>
          <t>Neutral (chase 41%)</t>
        </is>
      </c>
      <c r="H31" s="87" t="inlineStr">
        <is>
          <t>Saud Shakeel, FH Allen, RR Rossouw</t>
        </is>
      </c>
      <c r="I31" s="18" t="inlineStr">
        <is>
          <t>155.3</t>
        </is>
      </c>
      <c r="J31" s="18" t="inlineStr">
        <is>
          <t>166.8</t>
        </is>
      </c>
      <c r="K31" s="86" t="inlineStr">
        <is>
          <t>Multan Sultans</t>
        </is>
      </c>
      <c r="L31" s="86" t="inlineStr">
        <is>
          <t>bat</t>
        </is>
      </c>
      <c r="M31" s="62" t="inlineStr">
        <is>
          <t>Lahore Qalandars</t>
        </is>
      </c>
      <c r="N31" s="86" t="n">
        <v>5</v>
      </c>
      <c r="O31" s="86" t="inlineStr">
        <is>
          <t>wickets</t>
        </is>
      </c>
      <c r="P31" s="21" t="inlineStr"/>
      <c r="Q31" s="21" t="inlineStr"/>
      <c r="R31" s="21" t="inlineStr"/>
      <c r="S31" s="64" t="inlineStr">
        <is>
          <t>Lahore qualified</t>
        </is>
      </c>
      <c r="T31" s="27">
        <f>IF(K31="","",IF(OR(AND(F31="BOWL FIRST",L31="field"),AND(F31="BAT FIRST",L31="bat"),F31="TOSS-UP"),"✓ CORRECT","✗ WRONG"))</f>
        <v/>
      </c>
    </row>
    <row r="32" ht="32" customHeight="1">
      <c r="A32" s="12" t="n">
        <v>29</v>
      </c>
      <c r="B32" s="12" t="inlineStr">
        <is>
          <t>2025-05-09</t>
        </is>
      </c>
      <c r="C32" s="13" t="inlineStr">
        <is>
          <t>Multan Sultans</t>
        </is>
      </c>
      <c r="D32" s="14" t="inlineStr">
        <is>
          <t>Peshawar Zalmi</t>
        </is>
      </c>
      <c r="E32" s="15" t="inlineStr">
        <is>
          <t>Multan Cricket Stadium</t>
        </is>
      </c>
      <c r="F32" s="29" t="inlineStr">
        <is>
          <t>TOSS-UP</t>
        </is>
      </c>
      <c r="G32" s="87" t="inlineStr">
        <is>
          <t>Defend win 62%</t>
        </is>
      </c>
      <c r="H32" s="87" t="inlineStr">
        <is>
          <t>Yasir Khan, Mohammad Rizwan, Usman Khan</t>
        </is>
      </c>
      <c r="I32" s="18" t="inlineStr">
        <is>
          <t>134.2</t>
        </is>
      </c>
      <c r="J32" s="18" t="inlineStr">
        <is>
          <t>161.4</t>
        </is>
      </c>
      <c r="K32" s="86" t="inlineStr">
        <is>
          <t>Peshawar Zalmi</t>
        </is>
      </c>
      <c r="L32" s="86" t="inlineStr">
        <is>
          <t>field</t>
        </is>
      </c>
      <c r="M32" s="62" t="inlineStr">
        <is>
          <t>Peshawar Zalmi</t>
        </is>
      </c>
      <c r="N32" s="86" t="n">
        <v>26</v>
      </c>
      <c r="O32" s="86" t="inlineStr">
        <is>
          <t>runs</t>
        </is>
      </c>
      <c r="P32" s="21" t="inlineStr"/>
      <c r="Q32" s="21" t="inlineStr"/>
      <c r="R32" s="21" t="inlineStr"/>
      <c r="S32" s="64" t="inlineStr">
        <is>
          <t>Rain 13 overs. Babar 100th PSL. Peshawar elim.</t>
        </is>
      </c>
      <c r="T32" s="22">
        <f>IF(K32="","",IF(OR(AND(F32="BOWL FIRST",L32="field"),AND(F32="BAT FIRST",L32="bat"),F32="TOSS-UP"),"✓ CORRECT","✗ WRONG"))</f>
        <v/>
      </c>
    </row>
    <row r="33" ht="32" customHeight="1">
      <c r="A33" s="23" t="n">
        <v>30</v>
      </c>
      <c r="B33" s="23" t="inlineStr">
        <is>
          <t>2025-05-10</t>
        </is>
      </c>
      <c r="C33" s="24" t="inlineStr">
        <is>
          <t>Karachi Kings</t>
        </is>
      </c>
      <c r="D33" s="25" t="inlineStr">
        <is>
          <t>Quetta Gladiators</t>
        </is>
      </c>
      <c r="E33" s="26" t="inlineStr">
        <is>
          <t>National Stadium, Karachi</t>
        </is>
      </c>
      <c r="F33" s="28" t="inlineStr">
        <is>
          <t>BOWL FIRST</t>
        </is>
      </c>
      <c r="G33" s="87" t="inlineStr">
        <is>
          <t>Dew + chase 60%</t>
        </is>
      </c>
      <c r="H33" s="87" t="inlineStr">
        <is>
          <t>TL Seifert, DA Warner, JM Vince</t>
        </is>
      </c>
      <c r="I33" s="18" t="inlineStr">
        <is>
          <t>146.2</t>
        </is>
      </c>
      <c r="J33" s="18" t="inlineStr">
        <is>
          <t>174.2</t>
        </is>
      </c>
      <c r="K33" s="86" t="inlineStr">
        <is>
          <t>Karachi Kings</t>
        </is>
      </c>
      <c r="L33" s="86" t="inlineStr">
        <is>
          <t>field</t>
        </is>
      </c>
      <c r="M33" s="62" t="inlineStr">
        <is>
          <t>Multan Sultans</t>
        </is>
      </c>
      <c r="N33" s="86" t="n">
        <v>79</v>
      </c>
      <c r="O33" s="86" t="inlineStr">
        <is>
          <t>runs</t>
        </is>
      </c>
      <c r="P33" s="21" t="inlineStr"/>
      <c r="Q33" s="21" t="inlineStr"/>
      <c r="R33" s="21" t="inlineStr"/>
      <c r="S33" s="21" t="inlineStr"/>
      <c r="T33" s="27">
        <f>IF(K33="","",IF(OR(AND(F33="BOWL FIRST",L33="field"),AND(F33="BAT FIRST",L33="bat"),F33="TOSS-UP"),"✓ CORRECT","✗ WRONG"))</f>
        <v/>
      </c>
    </row>
    <row r="34" ht="32" customHeight="1">
      <c r="A34" s="12" t="n">
        <v>31</v>
      </c>
      <c r="B34" s="12" t="inlineStr">
        <is>
          <t>2025-05-13</t>
        </is>
      </c>
      <c r="C34" s="13" t="inlineStr">
        <is>
          <t>Eliminator 1</t>
        </is>
      </c>
      <c r="D34" s="14" t="inlineStr">
        <is>
          <t>Eliminator 2</t>
        </is>
      </c>
      <c r="E34" s="15" t="inlineStr">
        <is>
          <t>Gaddafi Stadium, Lahore</t>
        </is>
      </c>
      <c r="F34" s="16" t="inlineStr">
        <is>
          <t>TOSS-UP</t>
        </is>
      </c>
      <c r="G34" s="87" t="inlineStr">
        <is>
          <t>Neutral (chase 41%)</t>
        </is>
      </c>
      <c r="H34" s="87" t="inlineStr">
        <is>
          <t>-, -, -</t>
        </is>
      </c>
      <c r="I34" s="18" t="inlineStr">
        <is>
          <t>-</t>
        </is>
      </c>
      <c r="J34" s="18" t="inlineStr">
        <is>
          <t>-</t>
        </is>
      </c>
      <c r="K34" s="86" t="inlineStr">
        <is>
          <t>Quetta Gladiators</t>
        </is>
      </c>
      <c r="L34" s="86" t="inlineStr">
        <is>
          <t>bat</t>
        </is>
      </c>
      <c r="M34" s="62" t="inlineStr">
        <is>
          <t>Quetta Gladiators</t>
        </is>
      </c>
      <c r="N34" s="86" t="n">
        <v>30</v>
      </c>
      <c r="O34" s="86" t="inlineStr">
        <is>
          <t>runs</t>
        </is>
      </c>
      <c r="P34" s="21" t="inlineStr"/>
      <c r="Q34" s="21" t="inlineStr"/>
      <c r="R34" s="21" t="inlineStr"/>
      <c r="S34" s="64" t="inlineStr">
        <is>
          <t>Qualifier - Quetta to final</t>
        </is>
      </c>
      <c r="T34" s="22">
        <f>IF(K34="","",IF(OR(AND(F34="BOWL FIRST",L34="field"),AND(F34="BAT FIRST",L34="bat"),F34="TOSS-UP"),"✓ CORRECT","✗ WRONG"))</f>
        <v/>
      </c>
    </row>
    <row r="35" ht="32" customHeight="1">
      <c r="A35" s="23" t="n">
        <v>32</v>
      </c>
      <c r="B35" s="23" t="inlineStr">
        <is>
          <t>2025-05-14</t>
        </is>
      </c>
      <c r="C35" s="24" t="inlineStr">
        <is>
          <t>Qualifier 1</t>
        </is>
      </c>
      <c r="D35" s="25" t="inlineStr">
        <is>
          <t>Qualifier 2</t>
        </is>
      </c>
      <c r="E35" s="26" t="inlineStr">
        <is>
          <t>Gaddafi Stadium, Lahore</t>
        </is>
      </c>
      <c r="F35" s="16" t="inlineStr">
        <is>
          <t>TOSS-UP</t>
        </is>
      </c>
      <c r="G35" s="87" t="inlineStr">
        <is>
          <t>Neutral (chase 41%)</t>
        </is>
      </c>
      <c r="H35" s="87" t="inlineStr">
        <is>
          <t>-, -, -</t>
        </is>
      </c>
      <c r="I35" s="18" t="inlineStr">
        <is>
          <t>-</t>
        </is>
      </c>
      <c r="J35" s="18" t="inlineStr">
        <is>
          <t>-</t>
        </is>
      </c>
      <c r="K35" s="86" t="inlineStr">
        <is>
          <t>Lahore Qalandars</t>
        </is>
      </c>
      <c r="L35" s="86" t="inlineStr">
        <is>
          <t>bat</t>
        </is>
      </c>
      <c r="M35" s="62" t="inlineStr">
        <is>
          <t>Lahore Qalandars</t>
        </is>
      </c>
      <c r="N35" s="86" t="n">
        <v>95</v>
      </c>
      <c r="O35" s="86" t="inlineStr">
        <is>
          <t>runs</t>
        </is>
      </c>
      <c r="P35" s="21" t="inlineStr"/>
      <c r="Q35" s="21" t="inlineStr"/>
      <c r="R35" s="21" t="inlineStr"/>
      <c r="S35" s="64" t="inlineStr">
        <is>
          <t>Eliminator 1</t>
        </is>
      </c>
      <c r="T35" s="27">
        <f>IF(K35="","",IF(OR(AND(F35="BOWL FIRST",L35="field"),AND(F35="BAT FIRST",L35="bat"),F35="TOSS-UP"),"✓ CORRECT","✗ WRONG"))</f>
        <v/>
      </c>
    </row>
    <row r="36" ht="32" customHeight="1">
      <c r="A36" s="12" t="n">
        <v>33</v>
      </c>
      <c r="B36" s="12" t="inlineStr">
        <is>
          <t>2025-05-16</t>
        </is>
      </c>
      <c r="C36" s="13" t="inlineStr">
        <is>
          <t>Elim Winner</t>
        </is>
      </c>
      <c r="D36" s="14" t="inlineStr">
        <is>
          <t>Qualifier Loser</t>
        </is>
      </c>
      <c r="E36" s="15" t="inlineStr">
        <is>
          <t>Gaddafi Stadium, Lahore</t>
        </is>
      </c>
      <c r="F36" s="16" t="inlineStr">
        <is>
          <t>TOSS-UP</t>
        </is>
      </c>
      <c r="G36" s="87" t="inlineStr">
        <is>
          <t>Neutral (chase 41%)</t>
        </is>
      </c>
      <c r="H36" s="87" t="inlineStr">
        <is>
          <t>-, -, -</t>
        </is>
      </c>
      <c r="I36" s="18" t="inlineStr">
        <is>
          <t>-</t>
        </is>
      </c>
      <c r="J36" s="18" t="inlineStr">
        <is>
          <t>-</t>
        </is>
      </c>
      <c r="K36" s="86" t="inlineStr">
        <is>
          <t>Karachi Kings</t>
        </is>
      </c>
      <c r="L36" s="86" t="inlineStr">
        <is>
          <t>bat</t>
        </is>
      </c>
      <c r="M36" s="62" t="inlineStr">
        <is>
          <t>Karachi Kings</t>
        </is>
      </c>
      <c r="N36" s="86" t="n">
        <v>6</v>
      </c>
      <c r="O36" s="86" t="inlineStr">
        <is>
          <t>wickets</t>
        </is>
      </c>
      <c r="P36" s="21" t="inlineStr"/>
      <c r="Q36" s="21" t="inlineStr"/>
      <c r="R36" s="21" t="inlineStr"/>
      <c r="S36" s="64" t="inlineStr">
        <is>
          <t>Eliminator 2</t>
        </is>
      </c>
      <c r="T36" s="22">
        <f>IF(K36="","",IF(OR(AND(F36="BOWL FIRST",L36="field"),AND(F36="BAT FIRST",L36="bat"),F36="TOSS-UP"),"✓ CORRECT","✗ WRONG"))</f>
        <v/>
      </c>
    </row>
    <row r="37" ht="32" customHeight="1">
      <c r="A37" s="23" t="n">
        <v>34</v>
      </c>
      <c r="B37" s="23" t="inlineStr">
        <is>
          <t>2025-05-18</t>
        </is>
      </c>
      <c r="C37" s="24" t="inlineStr">
        <is>
          <t>Finalist 1</t>
        </is>
      </c>
      <c r="D37" s="25" t="inlineStr">
        <is>
          <t>Finalist 2</t>
        </is>
      </c>
      <c r="E37" s="26" t="inlineStr">
        <is>
          <t>Gaddafi Stadium, Lahore</t>
        </is>
      </c>
      <c r="F37" s="16" t="inlineStr">
        <is>
          <t>TOSS-UP</t>
        </is>
      </c>
      <c r="G37" s="87" t="inlineStr">
        <is>
          <t>Neutral (chase 41%)</t>
        </is>
      </c>
      <c r="H37" s="87" t="inlineStr">
        <is>
          <t>-, -, -</t>
        </is>
      </c>
      <c r="I37" s="18" t="inlineStr">
        <is>
          <t>-</t>
        </is>
      </c>
      <c r="J37" s="18" t="inlineStr">
        <is>
          <t>-</t>
        </is>
      </c>
      <c r="K37" s="86" t="inlineStr">
        <is>
          <t>Quetta Gladiators</t>
        </is>
      </c>
      <c r="L37" s="86" t="inlineStr">
        <is>
          <t>bat</t>
        </is>
      </c>
      <c r="M37" s="62" t="inlineStr">
        <is>
          <t>Lahore Qalandars</t>
        </is>
      </c>
      <c r="N37" s="86" t="n">
        <v>6</v>
      </c>
      <c r="O37" s="86" t="inlineStr">
        <is>
          <t>wickets</t>
        </is>
      </c>
      <c r="P37" s="21" t="inlineStr"/>
      <c r="Q37" s="21" t="inlineStr"/>
      <c r="R37" s="21" t="inlineStr"/>
      <c r="S37" s="64" t="inlineStr">
        <is>
          <t>FINAL - record chase 204/4. Lahore PSL champions</t>
        </is>
      </c>
      <c r="T37" s="27">
        <f>IF(K37="","",IF(OR(AND(F37="BOWL FIRST",L37="field"),AND(F37="BAT FIRST",L37="bat"),F37="TOSS-UP"),"✓ CORRECT","✗ WRONG"))</f>
        <v/>
      </c>
    </row>
    <row r="38" ht="24" customHeight="1">
      <c r="A38" s="30" t="inlineStr">
        <is>
          <t>SUMMARY</t>
        </is>
      </c>
      <c r="T38" s="32">
        <f>COUNTIF(T4:T37,"✓ CORRECT")&amp;" / "&amp;COUNTA(T4:T37)&amp;" toss calls correct"</f>
        <v/>
      </c>
    </row>
    <row r="41" ht="20" customHeight="1">
      <c r="A41" s="66" t="inlineStr">
        <is>
          <t>KEY:</t>
        </is>
      </c>
      <c r="K41" s="67" t="inlineStr">
        <is>
          <t>GREEN = auto-filled from public sources</t>
        </is>
      </c>
      <c r="P41" s="68" t="inlineStr">
        <is>
          <t>YELLOW = needs manual entry from scorecard</t>
        </is>
      </c>
    </row>
  </sheetData>
  <mergeCells count="7">
    <mergeCell ref="A1:T1"/>
    <mergeCell ref="A38:E38"/>
    <mergeCell ref="A2:E2"/>
    <mergeCell ref="K2:O2"/>
    <mergeCell ref="T2"/>
    <mergeCell ref="P2:S2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8" customWidth="1" min="4" max="4"/>
    <col width="18" customWidth="1" min="5" max="5"/>
    <col width="14" customWidth="1" min="6" max="6"/>
    <col width="10" customWidth="1" min="7" max="7"/>
    <col width="16" customWidth="1" min="8" max="8"/>
    <col width="16" customWidth="1" min="9" max="9"/>
    <col width="13" customWidth="1" min="10" max="10"/>
    <col width="14" customWidth="1" min="11" max="11"/>
    <col width="12" customWidth="1" min="12" max="12"/>
  </cols>
  <sheetData>
    <row r="1" ht="32" customHeight="1">
      <c r="A1" s="33" t="inlineStr">
        <is>
          <t>PARTNERSHIP BACK-TEST  |  Record the 2-3 biggest partnerships per match and how they ended</t>
        </is>
      </c>
    </row>
    <row r="2">
      <c r="A2" s="2" t="inlineStr">
        <is>
          <t>MATCH INFO</t>
        </is>
      </c>
      <c r="F2" s="34" t="inlineStr">
        <is>
          <t>SYSTEM THRESHOLD (PSL: Critical = 32 balls)</t>
        </is>
      </c>
      <c r="J2" s="35" t="inlineStr">
        <is>
          <t>ACTUAL  ← fill yellow</t>
        </is>
      </c>
    </row>
    <row r="3">
      <c r="A3" s="7" t="inlineStr">
        <is>
          <t>Match #</t>
        </is>
      </c>
      <c r="B3" s="7" t="inlineStr">
        <is>
          <t>Date</t>
        </is>
      </c>
      <c r="C3" s="7" t="inlineStr">
        <is>
          <t>Batting Team</t>
        </is>
      </c>
      <c r="D3" s="7" t="inlineStr">
        <is>
          <t>Batter 1
(pre-filled where known)</t>
        </is>
      </c>
      <c r="E3" s="7" t="inlineStr">
        <is>
          <t>Batter 2
(pre-filled where known)</t>
        </is>
      </c>
      <c r="F3" s="8" t="inlineStr">
        <is>
          <t>System
Danger Tier</t>
        </is>
      </c>
      <c r="G3" s="8" t="inlineStr">
        <is>
          <t>Balls at
Alert</t>
        </is>
      </c>
      <c r="H3" s="8" t="inlineStr">
        <is>
          <t>System
Breaker Rec</t>
        </is>
      </c>
      <c r="I3" s="8" t="inlineStr">
        <is>
          <t>Historical
Break Type</t>
        </is>
      </c>
      <c r="J3" s="9" t="inlineStr">
        <is>
          <t>Actual Balls
Together ✏</t>
        </is>
      </c>
      <c r="K3" s="9" t="inlineStr">
        <is>
          <t>Actual
Breaker ✏</t>
        </is>
      </c>
      <c r="L3" s="9" t="inlineStr">
        <is>
          <t>Partnership
Runs ✏</t>
        </is>
      </c>
    </row>
    <row r="4" ht="22" customHeight="1">
      <c r="A4" s="36" t="n">
        <v>1</v>
      </c>
      <c r="B4" s="36" t="inlineStr">
        <is>
          <t>2025-04-11</t>
        </is>
      </c>
      <c r="C4" s="37" t="inlineStr">
        <is>
          <t>Lahore Qalandars</t>
        </is>
      </c>
      <c r="D4" s="86" t="inlineStr">
        <is>
          <t>Abdullah Shafique</t>
        </is>
      </c>
      <c r="E4" s="86" t="inlineStr">
        <is>
          <t>Sikandar Raza</t>
        </is>
      </c>
      <c r="F4" s="18" t="inlineStr">
        <is>
          <t>CRITICAL if 32+ balls</t>
        </is>
      </c>
      <c r="G4" s="18" t="inlineStr">
        <is>
          <t>32</t>
        </is>
      </c>
      <c r="H4" s="18" t="inlineStr">
        <is>
          <t>Pace (68% avg)</t>
        </is>
      </c>
      <c r="I4" s="87" t="inlineStr">
        <is>
          <t>LQ bat</t>
        </is>
      </c>
      <c r="J4" s="88" t="inlineStr"/>
      <c r="K4" s="88" t="inlineStr"/>
      <c r="L4" s="88" t="inlineStr"/>
    </row>
    <row r="5" ht="22" customHeight="1">
      <c r="A5" s="38" t="n">
        <v>1</v>
      </c>
      <c r="B5" s="38" t="inlineStr">
        <is>
          <t>2025-04-11</t>
        </is>
      </c>
      <c r="C5" s="39" t="inlineStr"/>
      <c r="D5" s="86" t="inlineStr">
        <is>
          <t>Colin Munro</t>
        </is>
      </c>
      <c r="E5" s="86" t="inlineStr">
        <is>
          <t>Salman Ali Agha</t>
        </is>
      </c>
      <c r="F5" s="18" t="inlineStr">
        <is>
          <t>CRITICAL if 32+ balls</t>
        </is>
      </c>
      <c r="G5" s="18" t="inlineStr">
        <is>
          <t>32</t>
        </is>
      </c>
      <c r="H5" s="18" t="inlineStr">
        <is>
          <t>Pace (68% avg)</t>
        </is>
      </c>
      <c r="I5" s="87" t="inlineStr">
        <is>
          <t>IU chase — 94 runs unbroken</t>
        </is>
      </c>
      <c r="J5" s="88" t="inlineStr"/>
      <c r="K5" s="88" t="inlineStr"/>
      <c r="L5" s="88" t="inlineStr"/>
    </row>
    <row r="6" ht="22" customHeight="1">
      <c r="A6" s="36" t="n">
        <v>1</v>
      </c>
      <c r="B6" s="36" t="inlineStr">
        <is>
          <t>2025-04-11</t>
        </is>
      </c>
      <c r="C6" s="37" t="inlineStr"/>
      <c r="D6" s="86" t="inlineStr">
        <is>
          <t>Sahibzada Farhan</t>
        </is>
      </c>
      <c r="E6" s="86" t="inlineStr">
        <is>
          <t>Colin Munro</t>
        </is>
      </c>
      <c r="F6" s="18" t="inlineStr">
        <is>
          <t>CRITICAL if 32+ balls</t>
        </is>
      </c>
      <c r="G6" s="18" t="inlineStr">
        <is>
          <t>32</t>
        </is>
      </c>
      <c r="H6" s="18" t="inlineStr">
        <is>
          <t>Pace (68% avg)</t>
        </is>
      </c>
      <c r="I6" s="87" t="inlineStr">
        <is>
          <t>IU 1st wkt</t>
        </is>
      </c>
      <c r="J6" s="88" t="inlineStr"/>
      <c r="K6" s="88" t="inlineStr"/>
      <c r="L6" s="88" t="inlineStr"/>
    </row>
    <row r="7" ht="22" customHeight="1">
      <c r="A7" s="36" t="n">
        <v>2</v>
      </c>
      <c r="B7" s="36" t="inlineStr">
        <is>
          <t>2025-04-12</t>
        </is>
      </c>
      <c r="C7" s="37" t="inlineStr">
        <is>
          <t>Peshawar Zalmi</t>
        </is>
      </c>
      <c r="D7" s="86" t="inlineStr">
        <is>
          <t>Rilee Rossouw</t>
        </is>
      </c>
      <c r="E7" s="88" t="inlineStr">
        <is>
          <t>TBC — check card</t>
        </is>
      </c>
      <c r="F7" s="18" t="inlineStr">
        <is>
          <t>CRITICAL if 32+ balls</t>
        </is>
      </c>
      <c r="G7" s="18" t="inlineStr">
        <is>
          <t>32</t>
        </is>
      </c>
      <c r="H7" s="18" t="inlineStr">
        <is>
          <t>Pace (68% avg)</t>
        </is>
      </c>
      <c r="I7" s="87" t="inlineStr">
        <is>
          <t>QG bat</t>
        </is>
      </c>
      <c r="J7" s="88" t="inlineStr"/>
      <c r="K7" s="88" t="inlineStr"/>
      <c r="L7" s="88" t="inlineStr"/>
    </row>
    <row r="8" ht="22" customHeight="1">
      <c r="A8" s="38" t="n">
        <v>2</v>
      </c>
      <c r="B8" s="38" t="inlineStr">
        <is>
          <t>2025-04-12</t>
        </is>
      </c>
      <c r="C8" s="39" t="inlineStr"/>
      <c r="D8" s="88" t="inlineStr">
        <is>
          <t>TBC</t>
        </is>
      </c>
      <c r="E8" s="88" t="inlineStr">
        <is>
          <t>TBC</t>
        </is>
      </c>
      <c r="F8" s="18" t="inlineStr">
        <is>
          <t>CRITICAL if 32+ balls</t>
        </is>
      </c>
      <c r="G8" s="18" t="inlineStr">
        <is>
          <t>32</t>
        </is>
      </c>
      <c r="H8" s="18" t="inlineStr">
        <is>
          <t>Pace (68% avg)</t>
        </is>
      </c>
      <c r="I8" s="87" t="inlineStr">
        <is>
          <t>PZ chase</t>
        </is>
      </c>
      <c r="J8" s="88" t="inlineStr"/>
      <c r="K8" s="88" t="inlineStr"/>
      <c r="L8" s="88" t="inlineStr"/>
    </row>
    <row r="9" ht="22" customHeight="1">
      <c r="A9" s="36" t="n">
        <v>2</v>
      </c>
      <c r="B9" s="36" t="inlineStr">
        <is>
          <t>2025-04-12</t>
        </is>
      </c>
      <c r="C9" s="37" t="inlineStr"/>
      <c r="D9" s="88" t="inlineStr">
        <is>
          <t>TBC</t>
        </is>
      </c>
      <c r="E9" s="88" t="inlineStr">
        <is>
          <t>TBC</t>
        </is>
      </c>
      <c r="F9" s="18" t="inlineStr">
        <is>
          <t>CRITICAL if 32+ balls</t>
        </is>
      </c>
      <c r="G9" s="18" t="inlineStr">
        <is>
          <t>32</t>
        </is>
      </c>
      <c r="H9" s="18" t="inlineStr">
        <is>
          <t>Pace (68% avg)</t>
        </is>
      </c>
      <c r="I9" s="87" t="inlineStr">
        <is>
          <t>QG bat #2</t>
        </is>
      </c>
      <c r="J9" s="88" t="inlineStr"/>
      <c r="K9" s="88" t="inlineStr"/>
      <c r="L9" s="88" t="inlineStr"/>
    </row>
    <row r="10" ht="22" customHeight="1">
      <c r="A10" s="36" t="n">
        <v>3</v>
      </c>
      <c r="B10" s="36" t="inlineStr">
        <is>
          <t>2025-04-13</t>
        </is>
      </c>
      <c r="C10" s="37" t="inlineStr">
        <is>
          <t>Quetta Gladiators</t>
        </is>
      </c>
      <c r="D10" s="86" t="inlineStr">
        <is>
          <t>David Warner</t>
        </is>
      </c>
      <c r="E10" s="86" t="inlineStr">
        <is>
          <t>James Vince</t>
        </is>
      </c>
      <c r="F10" s="18" t="inlineStr">
        <is>
          <t>CRITICAL if 32+ balls</t>
        </is>
      </c>
      <c r="G10" s="18" t="inlineStr">
        <is>
          <t>32</t>
        </is>
      </c>
      <c r="H10" s="18" t="inlineStr">
        <is>
          <t>Pace (68% avg)</t>
        </is>
      </c>
      <c r="I10" s="87" t="inlineStr">
        <is>
          <t>MS/KK bat</t>
        </is>
      </c>
      <c r="J10" s="88" t="inlineStr"/>
      <c r="K10" s="88" t="inlineStr"/>
      <c r="L10" s="88" t="inlineStr"/>
    </row>
    <row r="11" ht="22" customHeight="1">
      <c r="A11" s="38" t="n">
        <v>3</v>
      </c>
      <c r="B11" s="38" t="inlineStr">
        <is>
          <t>2025-04-13</t>
        </is>
      </c>
      <c r="C11" s="39" t="inlineStr"/>
      <c r="D11" s="88" t="inlineStr">
        <is>
          <t>TBC</t>
        </is>
      </c>
      <c r="E11" s="88" t="inlineStr">
        <is>
          <t>TBC</t>
        </is>
      </c>
      <c r="F11" s="18" t="inlineStr">
        <is>
          <t>CRITICAL if 32+ balls</t>
        </is>
      </c>
      <c r="G11" s="18" t="inlineStr">
        <is>
          <t>32</t>
        </is>
      </c>
      <c r="H11" s="18" t="inlineStr">
        <is>
          <t>Pace (68% avg)</t>
        </is>
      </c>
      <c r="I11" s="87" t="inlineStr">
        <is>
          <t>KK chase</t>
        </is>
      </c>
      <c r="J11" s="88" t="inlineStr"/>
      <c r="K11" s="88" t="inlineStr"/>
      <c r="L11" s="88" t="inlineStr"/>
    </row>
    <row r="12" ht="22" customHeight="1">
      <c r="A12" s="36" t="n">
        <v>3</v>
      </c>
      <c r="B12" s="36" t="inlineStr">
        <is>
          <t>2025-04-13</t>
        </is>
      </c>
      <c r="C12" s="37" t="inlineStr"/>
      <c r="D12" s="88" t="inlineStr">
        <is>
          <t>TBC</t>
        </is>
      </c>
      <c r="E12" s="88" t="inlineStr">
        <is>
          <t>TBC</t>
        </is>
      </c>
      <c r="F12" s="18" t="inlineStr">
        <is>
          <t>CRITICAL if 32+ balls</t>
        </is>
      </c>
      <c r="G12" s="18" t="inlineStr">
        <is>
          <t>32</t>
        </is>
      </c>
      <c r="H12" s="18" t="inlineStr">
        <is>
          <t>Pace (68% avg)</t>
        </is>
      </c>
      <c r="I12" s="18" t="inlineStr">
        <is>
          <t>Pace / Spin change</t>
        </is>
      </c>
      <c r="J12" s="88" t="inlineStr"/>
      <c r="K12" s="88" t="inlineStr"/>
      <c r="L12" s="88" t="inlineStr"/>
    </row>
    <row r="13" ht="22" customHeight="1">
      <c r="A13" s="36" t="n">
        <v>4</v>
      </c>
      <c r="B13" s="36" t="inlineStr">
        <is>
          <t>2025-04-14</t>
        </is>
      </c>
      <c r="C13" s="37" t="inlineStr">
        <is>
          <t>Islamabad United</t>
        </is>
      </c>
      <c r="D13" s="88" t="inlineStr">
        <is>
          <t>TBC</t>
        </is>
      </c>
      <c r="E13" s="88" t="inlineStr">
        <is>
          <t>TBC</t>
        </is>
      </c>
      <c r="F13" s="18" t="inlineStr">
        <is>
          <t>CRITICAL if 32+ balls</t>
        </is>
      </c>
      <c r="G13" s="18" t="inlineStr">
        <is>
          <t>32</t>
        </is>
      </c>
      <c r="H13" s="18" t="inlineStr">
        <is>
          <t>Pace (68% avg)</t>
        </is>
      </c>
      <c r="I13" s="87" t="inlineStr">
        <is>
          <t>LQ bat</t>
        </is>
      </c>
      <c r="J13" s="88" t="inlineStr"/>
      <c r="K13" s="88" t="inlineStr"/>
      <c r="L13" s="88" t="inlineStr"/>
    </row>
    <row r="14" ht="22" customHeight="1">
      <c r="A14" s="38" t="n">
        <v>4</v>
      </c>
      <c r="B14" s="38" t="inlineStr">
        <is>
          <t>2025-04-14</t>
        </is>
      </c>
      <c r="C14" s="39" t="inlineStr"/>
      <c r="D14" s="88" t="inlineStr">
        <is>
          <t>TBC</t>
        </is>
      </c>
      <c r="E14" s="88" t="inlineStr">
        <is>
          <t>TBC</t>
        </is>
      </c>
      <c r="F14" s="18" t="inlineStr">
        <is>
          <t>CRITICAL if 32+ balls</t>
        </is>
      </c>
      <c r="G14" s="18" t="inlineStr">
        <is>
          <t>32</t>
        </is>
      </c>
      <c r="H14" s="18" t="inlineStr">
        <is>
          <t>Pace (68% avg)</t>
        </is>
      </c>
      <c r="I14" s="87" t="inlineStr">
        <is>
          <t>QG chase</t>
        </is>
      </c>
      <c r="J14" s="88" t="inlineStr"/>
      <c r="K14" s="88" t="inlineStr"/>
      <c r="L14" s="88" t="inlineStr"/>
    </row>
    <row r="15" ht="22" customHeight="1">
      <c r="A15" s="36" t="n">
        <v>4</v>
      </c>
      <c r="B15" s="36" t="inlineStr">
        <is>
          <t>2025-04-14</t>
        </is>
      </c>
      <c r="C15" s="37" t="inlineStr"/>
      <c r="D15" s="88" t="inlineStr">
        <is>
          <t>TBC</t>
        </is>
      </c>
      <c r="E15" s="88" t="inlineStr">
        <is>
          <t>TBC</t>
        </is>
      </c>
      <c r="F15" s="18" t="inlineStr">
        <is>
          <t>CRITICAL if 32+ balls</t>
        </is>
      </c>
      <c r="G15" s="18" t="inlineStr">
        <is>
          <t>32</t>
        </is>
      </c>
      <c r="H15" s="18" t="inlineStr">
        <is>
          <t>Pace (68% avg)</t>
        </is>
      </c>
      <c r="I15" s="18" t="inlineStr">
        <is>
          <t>Pace / Spin change</t>
        </is>
      </c>
      <c r="J15" s="88" t="inlineStr"/>
      <c r="K15" s="88" t="inlineStr"/>
      <c r="L15" s="88" t="inlineStr"/>
    </row>
    <row r="16" ht="22" customHeight="1">
      <c r="A16" s="36" t="n">
        <v>5</v>
      </c>
      <c r="B16" s="36" t="inlineStr">
        <is>
          <t>2025-04-15</t>
        </is>
      </c>
      <c r="C16" s="37" t="inlineStr">
        <is>
          <t>Lahore Qalandars</t>
        </is>
      </c>
      <c r="D16" s="86" t="inlineStr">
        <is>
          <t>Andries Gous</t>
        </is>
      </c>
      <c r="E16" s="86" t="inlineStr">
        <is>
          <t>Sahibzada Farhan</t>
        </is>
      </c>
      <c r="F16" s="18" t="inlineStr">
        <is>
          <t>CRITICAL if 32+ balls</t>
        </is>
      </c>
      <c r="G16" s="18" t="inlineStr">
        <is>
          <t>32</t>
        </is>
      </c>
      <c r="H16" s="18" t="inlineStr">
        <is>
          <t>Pace (68% avg)</t>
        </is>
      </c>
      <c r="I16" s="87" t="inlineStr">
        <is>
          <t>IU bat</t>
        </is>
      </c>
      <c r="J16" s="88" t="inlineStr"/>
      <c r="K16" s="88" t="inlineStr"/>
      <c r="L16" s="88" t="inlineStr"/>
    </row>
    <row r="17" ht="22" customHeight="1">
      <c r="A17" s="38" t="n">
        <v>5</v>
      </c>
      <c r="B17" s="38" t="inlineStr">
        <is>
          <t>2025-04-15</t>
        </is>
      </c>
      <c r="C17" s="39" t="inlineStr"/>
      <c r="D17" s="86" t="inlineStr">
        <is>
          <t>Colin Munro</t>
        </is>
      </c>
      <c r="E17" s="86" t="inlineStr">
        <is>
          <t>Salman Ali Agha</t>
        </is>
      </c>
      <c r="F17" s="18" t="inlineStr">
        <is>
          <t>CRITICAL if 32+ balls</t>
        </is>
      </c>
      <c r="G17" s="18" t="inlineStr">
        <is>
          <t>32</t>
        </is>
      </c>
      <c r="H17" s="18" t="inlineStr">
        <is>
          <t>Pace (68% avg)</t>
        </is>
      </c>
      <c r="I17" s="87" t="inlineStr">
        <is>
          <t>IU bat</t>
        </is>
      </c>
      <c r="J17" s="88" t="inlineStr"/>
      <c r="K17" s="88" t="inlineStr"/>
      <c r="L17" s="88" t="inlineStr"/>
    </row>
    <row r="18" ht="22" customHeight="1">
      <c r="A18" s="36" t="n">
        <v>5</v>
      </c>
      <c r="B18" s="36" t="inlineStr">
        <is>
          <t>2025-04-15</t>
        </is>
      </c>
      <c r="C18" s="37" t="inlineStr"/>
      <c r="D18" s="88" t="inlineStr">
        <is>
          <t>TBC</t>
        </is>
      </c>
      <c r="E18" s="88" t="inlineStr">
        <is>
          <t>TBC</t>
        </is>
      </c>
      <c r="F18" s="18" t="inlineStr">
        <is>
          <t>CRITICAL if 32+ balls</t>
        </is>
      </c>
      <c r="G18" s="18" t="inlineStr">
        <is>
          <t>32</t>
        </is>
      </c>
      <c r="H18" s="18" t="inlineStr">
        <is>
          <t>Pace (68% avg)</t>
        </is>
      </c>
      <c r="I18" s="87" t="inlineStr">
        <is>
          <t>PZ chase</t>
        </is>
      </c>
      <c r="J18" s="88" t="inlineStr"/>
      <c r="K18" s="88" t="inlineStr"/>
      <c r="L18" s="88" t="inlineStr"/>
    </row>
    <row r="19" ht="22" customHeight="1">
      <c r="A19" s="36" t="n">
        <v>6</v>
      </c>
      <c r="B19" s="36" t="inlineStr">
        <is>
          <t>2025-04-16</t>
        </is>
      </c>
      <c r="C19" s="37" t="inlineStr">
        <is>
          <t>Karachi Kings</t>
        </is>
      </c>
      <c r="D19" s="86" t="inlineStr">
        <is>
          <t>Fakhar Zaman</t>
        </is>
      </c>
      <c r="E19" s="86" t="inlineStr">
        <is>
          <t>Abdullah Shafique</t>
        </is>
      </c>
      <c r="F19" s="18" t="inlineStr">
        <is>
          <t>CRITICAL if 32+ balls</t>
        </is>
      </c>
      <c r="G19" s="18" t="inlineStr">
        <is>
          <t>32</t>
        </is>
      </c>
      <c r="H19" s="18" t="inlineStr">
        <is>
          <t>Pace (68% avg)</t>
        </is>
      </c>
      <c r="I19" s="87" t="inlineStr">
        <is>
          <t>LQ bat</t>
        </is>
      </c>
      <c r="J19" s="88" t="inlineStr"/>
      <c r="K19" s="88" t="inlineStr"/>
      <c r="L19" s="88" t="inlineStr"/>
    </row>
    <row r="20" ht="22" customHeight="1">
      <c r="A20" s="38" t="n">
        <v>6</v>
      </c>
      <c r="B20" s="38" t="inlineStr">
        <is>
          <t>2025-04-16</t>
        </is>
      </c>
      <c r="C20" s="39" t="inlineStr"/>
      <c r="D20" s="86" t="inlineStr">
        <is>
          <t>Muhammad Naeem</t>
        </is>
      </c>
      <c r="E20" s="86" t="inlineStr">
        <is>
          <t>Fakhar Zaman</t>
        </is>
      </c>
      <c r="F20" s="18" t="inlineStr">
        <is>
          <t>CRITICAL if 32+ balls</t>
        </is>
      </c>
      <c r="G20" s="18" t="inlineStr">
        <is>
          <t>32</t>
        </is>
      </c>
      <c r="H20" s="18" t="inlineStr">
        <is>
          <t>Pace (68% avg)</t>
        </is>
      </c>
      <c r="I20" s="87" t="inlineStr">
        <is>
          <t>LQ bat PP</t>
        </is>
      </c>
      <c r="J20" s="88" t="inlineStr"/>
      <c r="K20" s="88" t="inlineStr"/>
      <c r="L20" s="88" t="inlineStr"/>
    </row>
    <row r="21" ht="22" customHeight="1">
      <c r="A21" s="36" t="n">
        <v>6</v>
      </c>
      <c r="B21" s="36" t="inlineStr">
        <is>
          <t>2025-04-16</t>
        </is>
      </c>
      <c r="C21" s="37" t="inlineStr"/>
      <c r="D21" s="88" t="inlineStr">
        <is>
          <t>TBC</t>
        </is>
      </c>
      <c r="E21" s="88" t="inlineStr">
        <is>
          <t>TBC</t>
        </is>
      </c>
      <c r="F21" s="18" t="inlineStr">
        <is>
          <t>CRITICAL if 32+ balls</t>
        </is>
      </c>
      <c r="G21" s="18" t="inlineStr">
        <is>
          <t>32</t>
        </is>
      </c>
      <c r="H21" s="18" t="inlineStr">
        <is>
          <t>Pace (68% avg)</t>
        </is>
      </c>
      <c r="I21" s="87" t="inlineStr">
        <is>
          <t>KK chase</t>
        </is>
      </c>
      <c r="J21" s="88" t="inlineStr"/>
      <c r="K21" s="88" t="inlineStr"/>
      <c r="L21" s="88" t="inlineStr"/>
    </row>
    <row r="22" ht="22" customHeight="1">
      <c r="A22" s="36" t="n">
        <v>7</v>
      </c>
      <c r="B22" s="36" t="inlineStr">
        <is>
          <t>2025-04-17</t>
        </is>
      </c>
      <c r="C22" s="37" t="inlineStr">
        <is>
          <t>Peshawar Zalmi</t>
        </is>
      </c>
      <c r="D22" s="88" t="inlineStr">
        <is>
          <t>TBC</t>
        </is>
      </c>
      <c r="E22" s="88" t="inlineStr">
        <is>
          <t>TBC</t>
        </is>
      </c>
      <c r="F22" s="18" t="inlineStr">
        <is>
          <t>CRITICAL if 32+ balls</t>
        </is>
      </c>
      <c r="G22" s="18" t="inlineStr">
        <is>
          <t>32</t>
        </is>
      </c>
      <c r="H22" s="18" t="inlineStr">
        <is>
          <t>Pace (68% avg)</t>
        </is>
      </c>
      <c r="I22" s="87" t="inlineStr">
        <is>
          <t>IU bat</t>
        </is>
      </c>
      <c r="J22" s="88" t="inlineStr"/>
      <c r="K22" s="88" t="inlineStr"/>
      <c r="L22" s="88" t="inlineStr"/>
    </row>
    <row r="23" ht="22" customHeight="1">
      <c r="A23" s="38" t="n">
        <v>7</v>
      </c>
      <c r="B23" s="38" t="inlineStr">
        <is>
          <t>2025-04-17</t>
        </is>
      </c>
      <c r="C23" s="39" t="inlineStr"/>
      <c r="D23" s="88" t="inlineStr">
        <is>
          <t>TBC</t>
        </is>
      </c>
      <c r="E23" s="88" t="inlineStr">
        <is>
          <t>TBC</t>
        </is>
      </c>
      <c r="F23" s="18" t="inlineStr">
        <is>
          <t>CRITICAL if 32+ balls</t>
        </is>
      </c>
      <c r="G23" s="18" t="inlineStr">
        <is>
          <t>32</t>
        </is>
      </c>
      <c r="H23" s="18" t="inlineStr">
        <is>
          <t>Pace (68% avg)</t>
        </is>
      </c>
      <c r="I23" s="87" t="inlineStr">
        <is>
          <t>MS chase</t>
        </is>
      </c>
      <c r="J23" s="88" t="inlineStr"/>
      <c r="K23" s="88" t="inlineStr"/>
      <c r="L23" s="88" t="inlineStr"/>
    </row>
    <row r="24" ht="22" customHeight="1">
      <c r="A24" s="36" t="n">
        <v>7</v>
      </c>
      <c r="B24" s="36" t="inlineStr">
        <is>
          <t>2025-04-17</t>
        </is>
      </c>
      <c r="C24" s="37" t="inlineStr"/>
      <c r="D24" s="88" t="inlineStr">
        <is>
          <t>TBC</t>
        </is>
      </c>
      <c r="E24" s="88" t="inlineStr">
        <is>
          <t>TBC</t>
        </is>
      </c>
      <c r="F24" s="18" t="inlineStr">
        <is>
          <t>CRITICAL if 32+ balls</t>
        </is>
      </c>
      <c r="G24" s="18" t="inlineStr">
        <is>
          <t>32</t>
        </is>
      </c>
      <c r="H24" s="18" t="inlineStr">
        <is>
          <t>Pace (68% avg)</t>
        </is>
      </c>
      <c r="I24" s="18" t="inlineStr">
        <is>
          <t>Pace / Spin change</t>
        </is>
      </c>
      <c r="J24" s="88" t="inlineStr"/>
      <c r="K24" s="88" t="inlineStr"/>
      <c r="L24" s="88" t="inlineStr"/>
    </row>
    <row r="25" ht="22" customHeight="1">
      <c r="A25" s="36" t="n">
        <v>8</v>
      </c>
      <c r="B25" s="36" t="inlineStr">
        <is>
          <t>2025-04-18</t>
        </is>
      </c>
      <c r="C25" s="37" t="inlineStr">
        <is>
          <t>Multan Sultans</t>
        </is>
      </c>
      <c r="D25" s="88" t="inlineStr">
        <is>
          <t>TBC</t>
        </is>
      </c>
      <c r="E25" s="88" t="inlineStr">
        <is>
          <t>TBC</t>
        </is>
      </c>
      <c r="F25" s="18" t="inlineStr">
        <is>
          <t>CRITICAL if 32+ balls</t>
        </is>
      </c>
      <c r="G25" s="18" t="inlineStr">
        <is>
          <t>32</t>
        </is>
      </c>
      <c r="H25" s="18" t="inlineStr">
        <is>
          <t>Pace (68% avg)</t>
        </is>
      </c>
      <c r="I25" s="87" t="inlineStr">
        <is>
          <t>KK bat</t>
        </is>
      </c>
      <c r="J25" s="88" t="inlineStr"/>
      <c r="K25" s="88" t="inlineStr"/>
      <c r="L25" s="88" t="inlineStr"/>
    </row>
    <row r="26" ht="22" customHeight="1">
      <c r="A26" s="38" t="n">
        <v>8</v>
      </c>
      <c r="B26" s="38" t="inlineStr">
        <is>
          <t>2025-04-18</t>
        </is>
      </c>
      <c r="C26" s="39" t="inlineStr"/>
      <c r="D26" s="88" t="inlineStr">
        <is>
          <t>TBC</t>
        </is>
      </c>
      <c r="E26" s="88" t="inlineStr">
        <is>
          <t>TBC</t>
        </is>
      </c>
      <c r="F26" s="18" t="inlineStr">
        <is>
          <t>CRITICAL if 32+ balls</t>
        </is>
      </c>
      <c r="G26" s="18" t="inlineStr">
        <is>
          <t>32</t>
        </is>
      </c>
      <c r="H26" s="18" t="inlineStr">
        <is>
          <t>Pace (68% avg)</t>
        </is>
      </c>
      <c r="I26" s="87" t="inlineStr">
        <is>
          <t>PZ chase</t>
        </is>
      </c>
      <c r="J26" s="88" t="inlineStr"/>
      <c r="K26" s="88" t="inlineStr"/>
      <c r="L26" s="88" t="inlineStr"/>
    </row>
    <row r="27" ht="22" customHeight="1">
      <c r="A27" s="36" t="n">
        <v>8</v>
      </c>
      <c r="B27" s="36" t="inlineStr">
        <is>
          <t>2025-04-18</t>
        </is>
      </c>
      <c r="C27" s="37" t="inlineStr"/>
      <c r="D27" s="88" t="inlineStr">
        <is>
          <t>TBC</t>
        </is>
      </c>
      <c r="E27" s="88" t="inlineStr">
        <is>
          <t>TBC</t>
        </is>
      </c>
      <c r="F27" s="18" t="inlineStr">
        <is>
          <t>CRITICAL if 32+ balls</t>
        </is>
      </c>
      <c r="G27" s="18" t="inlineStr">
        <is>
          <t>32</t>
        </is>
      </c>
      <c r="H27" s="18" t="inlineStr">
        <is>
          <t>Pace (68% avg)</t>
        </is>
      </c>
      <c r="I27" s="18" t="inlineStr">
        <is>
          <t>Pace / Spin change</t>
        </is>
      </c>
      <c r="J27" s="88" t="inlineStr"/>
      <c r="K27" s="88" t="inlineStr"/>
      <c r="L27" s="88" t="inlineStr"/>
    </row>
    <row r="28" ht="22" customHeight="1">
      <c r="A28" s="36" t="n">
        <v>9</v>
      </c>
      <c r="B28" s="36" t="inlineStr">
        <is>
          <t>2025-04-19</t>
        </is>
      </c>
      <c r="C28" s="37" t="inlineStr">
        <is>
          <t>Islamabad United</t>
        </is>
      </c>
      <c r="D28" s="86" t="inlineStr">
        <is>
          <t>Saim Ayub</t>
        </is>
      </c>
      <c r="E28" s="86" t="inlineStr">
        <is>
          <t>Babar Azam</t>
        </is>
      </c>
      <c r="F28" s="18" t="inlineStr">
        <is>
          <t>CRITICAL if 32+ balls</t>
        </is>
      </c>
      <c r="G28" s="18" t="inlineStr">
        <is>
          <t>32</t>
        </is>
      </c>
      <c r="H28" s="18" t="inlineStr">
        <is>
          <t>Pace (68% avg)</t>
        </is>
      </c>
      <c r="I28" s="87" t="inlineStr">
        <is>
          <t>PZ bat</t>
        </is>
      </c>
      <c r="J28" s="88" t="inlineStr"/>
      <c r="K28" s="88" t="inlineStr"/>
      <c r="L28" s="88" t="inlineStr"/>
    </row>
    <row r="29" ht="22" customHeight="1">
      <c r="A29" s="38" t="n">
        <v>9</v>
      </c>
      <c r="B29" s="38" t="inlineStr">
        <is>
          <t>2025-04-19</t>
        </is>
      </c>
      <c r="C29" s="39" t="inlineStr"/>
      <c r="D29" s="88" t="inlineStr">
        <is>
          <t>TBC</t>
        </is>
      </c>
      <c r="E29" s="88" t="inlineStr">
        <is>
          <t>TBC</t>
        </is>
      </c>
      <c r="F29" s="18" t="inlineStr">
        <is>
          <t>CRITICAL if 32+ balls</t>
        </is>
      </c>
      <c r="G29" s="18" t="inlineStr">
        <is>
          <t>32</t>
        </is>
      </c>
      <c r="H29" s="18" t="inlineStr">
        <is>
          <t>Pace (68% avg)</t>
        </is>
      </c>
      <c r="I29" s="87" t="inlineStr">
        <is>
          <t>MS chase</t>
        </is>
      </c>
      <c r="J29" s="88" t="inlineStr"/>
      <c r="K29" s="88" t="inlineStr"/>
      <c r="L29" s="88" t="inlineStr"/>
    </row>
    <row r="30" ht="22" customHeight="1">
      <c r="A30" s="36" t="n">
        <v>9</v>
      </c>
      <c r="B30" s="36" t="inlineStr">
        <is>
          <t>2025-04-19</t>
        </is>
      </c>
      <c r="C30" s="37" t="inlineStr"/>
      <c r="D30" s="88" t="inlineStr">
        <is>
          <t>TBC</t>
        </is>
      </c>
      <c r="E30" s="88" t="inlineStr">
        <is>
          <t>TBC</t>
        </is>
      </c>
      <c r="F30" s="18" t="inlineStr">
        <is>
          <t>CRITICAL if 32+ balls</t>
        </is>
      </c>
      <c r="G30" s="18" t="inlineStr">
        <is>
          <t>32</t>
        </is>
      </c>
      <c r="H30" s="18" t="inlineStr">
        <is>
          <t>Pace (68% avg)</t>
        </is>
      </c>
      <c r="I30" s="18" t="inlineStr">
        <is>
          <t>Pace / Spin change</t>
        </is>
      </c>
      <c r="J30" s="88" t="inlineStr"/>
      <c r="K30" s="88" t="inlineStr"/>
      <c r="L30" s="88" t="inlineStr"/>
    </row>
    <row r="31" ht="22" customHeight="1">
      <c r="A31" s="36" t="n">
        <v>10</v>
      </c>
      <c r="B31" s="36" t="inlineStr">
        <is>
          <t>2025-04-20</t>
        </is>
      </c>
      <c r="C31" s="37" t="inlineStr">
        <is>
          <t>Karachi Kings</t>
        </is>
      </c>
      <c r="D31" s="88" t="inlineStr">
        <is>
          <t>TBC</t>
        </is>
      </c>
      <c r="E31" s="88" t="inlineStr">
        <is>
          <t>TBC</t>
        </is>
      </c>
      <c r="F31" s="18" t="inlineStr">
        <is>
          <t>CRITICAL if 32+ balls</t>
        </is>
      </c>
      <c r="G31" s="18" t="inlineStr">
        <is>
          <t>32</t>
        </is>
      </c>
      <c r="H31" s="18" t="inlineStr">
        <is>
          <t>Pace (68% avg)</t>
        </is>
      </c>
      <c r="I31" s="87" t="inlineStr">
        <is>
          <t>KK bat</t>
        </is>
      </c>
      <c r="J31" s="88" t="inlineStr"/>
      <c r="K31" s="88" t="inlineStr"/>
      <c r="L31" s="88" t="inlineStr"/>
    </row>
    <row r="32" ht="22" customHeight="1">
      <c r="A32" s="38" t="n">
        <v>10</v>
      </c>
      <c r="B32" s="38" t="inlineStr">
        <is>
          <t>2025-04-20</t>
        </is>
      </c>
      <c r="C32" s="39" t="inlineStr"/>
      <c r="D32" s="88" t="inlineStr">
        <is>
          <t>TBC</t>
        </is>
      </c>
      <c r="E32" s="88" t="inlineStr">
        <is>
          <t>TBC</t>
        </is>
      </c>
      <c r="F32" s="18" t="inlineStr">
        <is>
          <t>CRITICAL if 32+ balls</t>
        </is>
      </c>
      <c r="G32" s="18" t="inlineStr">
        <is>
          <t>32</t>
        </is>
      </c>
      <c r="H32" s="18" t="inlineStr">
        <is>
          <t>Pace (68% avg)</t>
        </is>
      </c>
      <c r="I32" s="87" t="inlineStr">
        <is>
          <t>IU chase</t>
        </is>
      </c>
      <c r="J32" s="88" t="inlineStr"/>
      <c r="K32" s="88" t="inlineStr"/>
      <c r="L32" s="88" t="inlineStr"/>
    </row>
    <row r="33" ht="22" customHeight="1">
      <c r="A33" s="36" t="n">
        <v>10</v>
      </c>
      <c r="B33" s="36" t="inlineStr">
        <is>
          <t>2025-04-20</t>
        </is>
      </c>
      <c r="C33" s="37" t="inlineStr"/>
      <c r="D33" s="88" t="inlineStr">
        <is>
          <t>TBC</t>
        </is>
      </c>
      <c r="E33" s="88" t="inlineStr">
        <is>
          <t>TBC</t>
        </is>
      </c>
      <c r="F33" s="18" t="inlineStr">
        <is>
          <t>CRITICAL if 32+ balls</t>
        </is>
      </c>
      <c r="G33" s="18" t="inlineStr">
        <is>
          <t>32</t>
        </is>
      </c>
      <c r="H33" s="18" t="inlineStr">
        <is>
          <t>Pace (68% avg)</t>
        </is>
      </c>
      <c r="I33" s="18" t="inlineStr">
        <is>
          <t>Pace / Spin change</t>
        </is>
      </c>
      <c r="J33" s="88" t="inlineStr"/>
      <c r="K33" s="88" t="inlineStr"/>
      <c r="L33" s="88" t="inlineStr"/>
    </row>
    <row r="34" ht="22" customHeight="1">
      <c r="A34" s="36" t="n">
        <v>11</v>
      </c>
      <c r="B34" s="36" t="inlineStr">
        <is>
          <t>2025-04-21</t>
        </is>
      </c>
      <c r="C34" s="37" t="inlineStr">
        <is>
          <t>Multan Sultans</t>
        </is>
      </c>
      <c r="D34" s="88" t="inlineStr">
        <is>
          <t>TBC</t>
        </is>
      </c>
      <c r="E34" s="88" t="inlineStr">
        <is>
          <t>TBC</t>
        </is>
      </c>
      <c r="F34" s="18" t="inlineStr">
        <is>
          <t>CRITICAL if 32+ balls</t>
        </is>
      </c>
      <c r="G34" s="18" t="inlineStr">
        <is>
          <t>32</t>
        </is>
      </c>
      <c r="H34" s="18" t="inlineStr">
        <is>
          <t>Pace (68% avg)</t>
        </is>
      </c>
      <c r="I34" s="87" t="inlineStr">
        <is>
          <t>PZ bat</t>
        </is>
      </c>
      <c r="J34" s="88" t="inlineStr"/>
      <c r="K34" s="88" t="inlineStr"/>
      <c r="L34" s="88" t="inlineStr"/>
    </row>
    <row r="35" ht="22" customHeight="1">
      <c r="A35" s="38" t="n">
        <v>11</v>
      </c>
      <c r="B35" s="38" t="inlineStr">
        <is>
          <t>2025-04-21</t>
        </is>
      </c>
      <c r="C35" s="39" t="inlineStr"/>
      <c r="D35" s="88" t="inlineStr">
        <is>
          <t>TBC</t>
        </is>
      </c>
      <c r="E35" s="88" t="inlineStr">
        <is>
          <t>TBC</t>
        </is>
      </c>
      <c r="F35" s="18" t="inlineStr">
        <is>
          <t>CRITICAL if 32+ balls</t>
        </is>
      </c>
      <c r="G35" s="18" t="inlineStr">
        <is>
          <t>32</t>
        </is>
      </c>
      <c r="H35" s="18" t="inlineStr">
        <is>
          <t>Pace (68% avg)</t>
        </is>
      </c>
      <c r="I35" s="87" t="inlineStr">
        <is>
          <t>KK chase</t>
        </is>
      </c>
      <c r="J35" s="88" t="inlineStr"/>
      <c r="K35" s="88" t="inlineStr"/>
      <c r="L35" s="88" t="inlineStr"/>
    </row>
    <row r="36" ht="22" customHeight="1">
      <c r="A36" s="36" t="n">
        <v>11</v>
      </c>
      <c r="B36" s="36" t="inlineStr">
        <is>
          <t>2025-04-21</t>
        </is>
      </c>
      <c r="C36" s="37" t="inlineStr"/>
      <c r="D36" s="88" t="inlineStr">
        <is>
          <t>TBC</t>
        </is>
      </c>
      <c r="E36" s="88" t="inlineStr">
        <is>
          <t>TBC</t>
        </is>
      </c>
      <c r="F36" s="18" t="inlineStr">
        <is>
          <t>CRITICAL if 32+ balls</t>
        </is>
      </c>
      <c r="G36" s="18" t="inlineStr">
        <is>
          <t>32</t>
        </is>
      </c>
      <c r="H36" s="18" t="inlineStr">
        <is>
          <t>Pace (68% avg)</t>
        </is>
      </c>
      <c r="I36" s="18" t="inlineStr">
        <is>
          <t>Pace / Spin change</t>
        </is>
      </c>
      <c r="J36" s="88" t="inlineStr"/>
      <c r="K36" s="88" t="inlineStr"/>
      <c r="L36" s="88" t="inlineStr"/>
    </row>
    <row r="37" ht="22" customHeight="1">
      <c r="A37" s="36" t="n">
        <v>12</v>
      </c>
      <c r="B37" s="36" t="inlineStr">
        <is>
          <t>2025-04-22</t>
        </is>
      </c>
      <c r="C37" s="37" t="inlineStr">
        <is>
          <t>Lahore Qalandars</t>
        </is>
      </c>
      <c r="D37" s="86" t="inlineStr">
        <is>
          <t>Mohammad Rizwan</t>
        </is>
      </c>
      <c r="E37" s="86" t="inlineStr">
        <is>
          <t>Yasir Khan</t>
        </is>
      </c>
      <c r="F37" s="18" t="inlineStr">
        <is>
          <t>CRITICAL if 32+ balls</t>
        </is>
      </c>
      <c r="G37" s="18" t="inlineStr">
        <is>
          <t>32</t>
        </is>
      </c>
      <c r="H37" s="18" t="inlineStr">
        <is>
          <t>Pace (68% avg)</t>
        </is>
      </c>
      <c r="I37" s="87" t="inlineStr">
        <is>
          <t>MS bat — Yasir 87</t>
        </is>
      </c>
      <c r="J37" s="88" t="inlineStr"/>
      <c r="K37" s="88" t="inlineStr"/>
      <c r="L37" s="88" t="inlineStr"/>
    </row>
    <row r="38" ht="22" customHeight="1">
      <c r="A38" s="38" t="n">
        <v>12</v>
      </c>
      <c r="B38" s="38" t="inlineStr">
        <is>
          <t>2025-04-22</t>
        </is>
      </c>
      <c r="C38" s="39" t="inlineStr"/>
      <c r="D38" s="86" t="inlineStr">
        <is>
          <t>Michael Bracewell</t>
        </is>
      </c>
      <c r="E38" s="86" t="inlineStr">
        <is>
          <t>Iftikhar Ahmed</t>
        </is>
      </c>
      <c r="F38" s="18" t="inlineStr">
        <is>
          <t>CRITICAL if 32+ balls</t>
        </is>
      </c>
      <c r="G38" s="18" t="inlineStr">
        <is>
          <t>32</t>
        </is>
      </c>
      <c r="H38" s="18" t="inlineStr">
        <is>
          <t>Pace (68% avg)</t>
        </is>
      </c>
      <c r="I38" s="87" t="inlineStr">
        <is>
          <t>MS bat</t>
        </is>
      </c>
      <c r="J38" s="88" t="inlineStr"/>
      <c r="K38" s="88" t="inlineStr"/>
      <c r="L38" s="88" t="inlineStr"/>
    </row>
    <row r="39" ht="22" customHeight="1">
      <c r="A39" s="36" t="n">
        <v>12</v>
      </c>
      <c r="B39" s="36" t="inlineStr">
        <is>
          <t>2025-04-22</t>
        </is>
      </c>
      <c r="C39" s="37" t="inlineStr"/>
      <c r="D39" s="86" t="inlineStr">
        <is>
          <t>Sikandar Raza</t>
        </is>
      </c>
      <c r="E39" s="86" t="inlineStr">
        <is>
          <t>Sam Billings</t>
        </is>
      </c>
      <c r="F39" s="18" t="inlineStr">
        <is>
          <t>CRITICAL if 32+ balls</t>
        </is>
      </c>
      <c r="G39" s="18" t="inlineStr">
        <is>
          <t>32</t>
        </is>
      </c>
      <c r="H39" s="18" t="inlineStr">
        <is>
          <t>Pace (68% avg)</t>
        </is>
      </c>
      <c r="I39" s="87" t="inlineStr">
        <is>
          <t>LQ chase</t>
        </is>
      </c>
      <c r="J39" s="88" t="inlineStr"/>
      <c r="K39" s="88" t="inlineStr"/>
      <c r="L39" s="88" t="inlineStr"/>
    </row>
    <row r="40" ht="22" customHeight="1">
      <c r="A40" s="36" t="n">
        <v>13</v>
      </c>
      <c r="B40" s="36" t="inlineStr">
        <is>
          <t>2025-04-23</t>
        </is>
      </c>
      <c r="C40" s="37" t="inlineStr">
        <is>
          <t>Peshawar Zalmi</t>
        </is>
      </c>
      <c r="D40" s="86" t="inlineStr">
        <is>
          <t>Mohammad Rizwan</t>
        </is>
      </c>
      <c r="E40" s="86" t="inlineStr">
        <is>
          <t>Yasir Khan</t>
        </is>
      </c>
      <c r="F40" s="18" t="inlineStr">
        <is>
          <t>CRITICAL if 32+ balls</t>
        </is>
      </c>
      <c r="G40" s="18" t="inlineStr">
        <is>
          <t>32</t>
        </is>
      </c>
      <c r="H40" s="18" t="inlineStr">
        <is>
          <t>Pace (68% avg)</t>
        </is>
      </c>
      <c r="I40" s="87" t="inlineStr">
        <is>
          <t>MS bat</t>
        </is>
      </c>
      <c r="J40" s="88" t="inlineStr"/>
      <c r="K40" s="88" t="inlineStr"/>
      <c r="L40" s="88" t="inlineStr"/>
    </row>
    <row r="41" ht="22" customHeight="1">
      <c r="A41" s="38" t="n">
        <v>13</v>
      </c>
      <c r="B41" s="38" t="inlineStr">
        <is>
          <t>2025-04-23</t>
        </is>
      </c>
      <c r="C41" s="39" t="inlineStr"/>
      <c r="D41" s="88" t="inlineStr">
        <is>
          <t>TBC</t>
        </is>
      </c>
      <c r="E41" s="88" t="inlineStr">
        <is>
          <t>TBC</t>
        </is>
      </c>
      <c r="F41" s="18" t="inlineStr">
        <is>
          <t>CRITICAL if 32+ balls</t>
        </is>
      </c>
      <c r="G41" s="18" t="inlineStr">
        <is>
          <t>32</t>
        </is>
      </c>
      <c r="H41" s="18" t="inlineStr">
        <is>
          <t>Pace (68% avg)</t>
        </is>
      </c>
      <c r="I41" s="87" t="inlineStr">
        <is>
          <t>QG chase</t>
        </is>
      </c>
      <c r="J41" s="88" t="inlineStr"/>
      <c r="K41" s="88" t="inlineStr"/>
      <c r="L41" s="88" t="inlineStr"/>
    </row>
    <row r="42" ht="22" customHeight="1">
      <c r="A42" s="36" t="n">
        <v>13</v>
      </c>
      <c r="B42" s="36" t="inlineStr">
        <is>
          <t>2025-04-23</t>
        </is>
      </c>
      <c r="C42" s="37" t="inlineStr"/>
      <c r="D42" s="88" t="inlineStr">
        <is>
          <t>TBC</t>
        </is>
      </c>
      <c r="E42" s="88" t="inlineStr">
        <is>
          <t>TBC</t>
        </is>
      </c>
      <c r="F42" s="18" t="inlineStr">
        <is>
          <t>CRITICAL if 32+ balls</t>
        </is>
      </c>
      <c r="G42" s="18" t="inlineStr">
        <is>
          <t>32</t>
        </is>
      </c>
      <c r="H42" s="18" t="inlineStr">
        <is>
          <t>Pace (68% avg)</t>
        </is>
      </c>
      <c r="I42" s="18" t="inlineStr">
        <is>
          <t>Pace / Spin change</t>
        </is>
      </c>
      <c r="J42" s="88" t="inlineStr"/>
      <c r="K42" s="88" t="inlineStr"/>
      <c r="L42" s="88" t="inlineStr"/>
    </row>
    <row r="43" ht="22" customHeight="1">
      <c r="A43" s="36" t="n">
        <v>14</v>
      </c>
      <c r="B43" s="36" t="inlineStr">
        <is>
          <t>2025-04-24</t>
        </is>
      </c>
      <c r="C43" s="37" t="inlineStr">
        <is>
          <t>Islamabad United</t>
        </is>
      </c>
      <c r="D43" s="86" t="inlineStr">
        <is>
          <t>Babar Azam</t>
        </is>
      </c>
      <c r="E43" s="86" t="inlineStr">
        <is>
          <t>Hussain Talat</t>
        </is>
      </c>
      <c r="F43" s="18" t="inlineStr">
        <is>
          <t>CRITICAL if 32+ balls</t>
        </is>
      </c>
      <c r="G43" s="18" t="inlineStr">
        <is>
          <t>32</t>
        </is>
      </c>
      <c r="H43" s="18" t="inlineStr">
        <is>
          <t>Pace (68% avg)</t>
        </is>
      </c>
      <c r="I43" s="87" t="inlineStr">
        <is>
          <t>PZ chase — 93 unbroken</t>
        </is>
      </c>
      <c r="J43" s="88" t="inlineStr"/>
      <c r="K43" s="88" t="inlineStr"/>
      <c r="L43" s="88" t="inlineStr"/>
    </row>
    <row r="44" ht="22" customHeight="1">
      <c r="A44" s="38" t="n">
        <v>14</v>
      </c>
      <c r="B44" s="38" t="inlineStr">
        <is>
          <t>2025-04-24</t>
        </is>
      </c>
      <c r="C44" s="39" t="inlineStr"/>
      <c r="D44" s="86" t="inlineStr">
        <is>
          <t>Sikandar Raza</t>
        </is>
      </c>
      <c r="E44" s="88" t="inlineStr">
        <is>
          <t>TBC</t>
        </is>
      </c>
      <c r="F44" s="18" t="inlineStr">
        <is>
          <t>CRITICAL if 32+ balls</t>
        </is>
      </c>
      <c r="G44" s="18" t="inlineStr">
        <is>
          <t>32</t>
        </is>
      </c>
      <c r="H44" s="18" t="inlineStr">
        <is>
          <t>Pace (68% avg)</t>
        </is>
      </c>
      <c r="I44" s="87" t="inlineStr">
        <is>
          <t>LQ bat</t>
        </is>
      </c>
      <c r="J44" s="88" t="inlineStr"/>
      <c r="K44" s="88" t="inlineStr"/>
      <c r="L44" s="88" t="inlineStr"/>
    </row>
    <row r="45" ht="22" customHeight="1">
      <c r="A45" s="36" t="n">
        <v>14</v>
      </c>
      <c r="B45" s="36" t="inlineStr">
        <is>
          <t>2025-04-24</t>
        </is>
      </c>
      <c r="C45" s="37" t="inlineStr"/>
      <c r="D45" s="88" t="inlineStr">
        <is>
          <t>TBC</t>
        </is>
      </c>
      <c r="E45" s="88" t="inlineStr">
        <is>
          <t>TBC</t>
        </is>
      </c>
      <c r="F45" s="18" t="inlineStr">
        <is>
          <t>CRITICAL if 32+ balls</t>
        </is>
      </c>
      <c r="G45" s="18" t="inlineStr">
        <is>
          <t>32</t>
        </is>
      </c>
      <c r="H45" s="18" t="inlineStr">
        <is>
          <t>Pace (68% avg)</t>
        </is>
      </c>
      <c r="I45" s="18" t="inlineStr">
        <is>
          <t>Pace / Spin change</t>
        </is>
      </c>
      <c r="J45" s="88" t="inlineStr"/>
      <c r="K45" s="88" t="inlineStr"/>
      <c r="L45" s="88" t="inlineStr"/>
    </row>
    <row r="46" ht="22" customHeight="1">
      <c r="A46" s="36" t="n">
        <v>15</v>
      </c>
      <c r="B46" s="36" t="inlineStr">
        <is>
          <t>2025-04-25</t>
        </is>
      </c>
      <c r="C46" s="37" t="inlineStr">
        <is>
          <t>Quetta Gladiators</t>
        </is>
      </c>
      <c r="D46" s="88" t="inlineStr">
        <is>
          <t>TBC</t>
        </is>
      </c>
      <c r="E46" s="88" t="inlineStr">
        <is>
          <t>TBC</t>
        </is>
      </c>
      <c r="F46" s="18" t="inlineStr">
        <is>
          <t>CRITICAL if 32+ balls</t>
        </is>
      </c>
      <c r="G46" s="18" t="inlineStr">
        <is>
          <t>32</t>
        </is>
      </c>
      <c r="H46" s="18" t="inlineStr">
        <is>
          <t>Pace (68% avg)</t>
        </is>
      </c>
      <c r="I46" s="87" t="inlineStr">
        <is>
          <t>KK bat</t>
        </is>
      </c>
      <c r="J46" s="88" t="inlineStr"/>
      <c r="K46" s="88" t="inlineStr"/>
      <c r="L46" s="88" t="inlineStr"/>
    </row>
    <row r="47" ht="22" customHeight="1">
      <c r="A47" s="38" t="n">
        <v>15</v>
      </c>
      <c r="B47" s="38" t="inlineStr">
        <is>
          <t>2025-04-25</t>
        </is>
      </c>
      <c r="C47" s="39" t="inlineStr"/>
      <c r="D47" s="88" t="inlineStr">
        <is>
          <t>TBC</t>
        </is>
      </c>
      <c r="E47" s="88" t="inlineStr">
        <is>
          <t>TBC</t>
        </is>
      </c>
      <c r="F47" s="18" t="inlineStr">
        <is>
          <t>CRITICAL if 32+ balls</t>
        </is>
      </c>
      <c r="G47" s="18" t="inlineStr">
        <is>
          <t>32</t>
        </is>
      </c>
      <c r="H47" s="18" t="inlineStr">
        <is>
          <t>Pace (68% avg)</t>
        </is>
      </c>
      <c r="I47" s="87" t="inlineStr">
        <is>
          <t>IU chase</t>
        </is>
      </c>
      <c r="J47" s="88" t="inlineStr"/>
      <c r="K47" s="88" t="inlineStr"/>
      <c r="L47" s="88" t="inlineStr"/>
    </row>
    <row r="48" ht="22" customHeight="1">
      <c r="A48" s="36" t="n">
        <v>15</v>
      </c>
      <c r="B48" s="36" t="inlineStr">
        <is>
          <t>2025-04-25</t>
        </is>
      </c>
      <c r="C48" s="37" t="inlineStr"/>
      <c r="D48" s="88" t="inlineStr">
        <is>
          <t>TBC</t>
        </is>
      </c>
      <c r="E48" s="88" t="inlineStr">
        <is>
          <t>TBC</t>
        </is>
      </c>
      <c r="F48" s="18" t="inlineStr">
        <is>
          <t>CRITICAL if 32+ balls</t>
        </is>
      </c>
      <c r="G48" s="18" t="inlineStr">
        <is>
          <t>32</t>
        </is>
      </c>
      <c r="H48" s="18" t="inlineStr">
        <is>
          <t>Pace (68% avg)</t>
        </is>
      </c>
      <c r="I48" s="18" t="inlineStr">
        <is>
          <t>Pace / Spin change</t>
        </is>
      </c>
      <c r="J48" s="88" t="inlineStr"/>
      <c r="K48" s="88" t="inlineStr"/>
      <c r="L48" s="88" t="inlineStr"/>
    </row>
    <row r="49" ht="22" customHeight="1">
      <c r="A49" s="36" t="n">
        <v>16</v>
      </c>
      <c r="B49" s="36" t="inlineStr">
        <is>
          <t>2025-04-26</t>
        </is>
      </c>
      <c r="C49" s="37" t="inlineStr">
        <is>
          <t>Karachi Kings</t>
        </is>
      </c>
      <c r="D49" s="86" t="inlineStr">
        <is>
          <t>Mohammad Rizwan</t>
        </is>
      </c>
      <c r="E49" s="86" t="inlineStr">
        <is>
          <t>Kamran Ghulam</t>
        </is>
      </c>
      <c r="F49" s="18" t="inlineStr">
        <is>
          <t>CRITICAL if 32+ balls</t>
        </is>
      </c>
      <c r="G49" s="18" t="inlineStr">
        <is>
          <t>32</t>
        </is>
      </c>
      <c r="H49" s="18" t="inlineStr">
        <is>
          <t>Pace (68% avg)</t>
        </is>
      </c>
      <c r="I49" s="87" t="inlineStr">
        <is>
          <t>MS bat</t>
        </is>
      </c>
      <c r="J49" s="88" t="inlineStr"/>
      <c r="K49" s="88" t="inlineStr"/>
      <c r="L49" s="88" t="inlineStr"/>
    </row>
    <row r="50" ht="22" customHeight="1">
      <c r="A50" s="38" t="n">
        <v>16</v>
      </c>
      <c r="B50" s="38" t="inlineStr">
        <is>
          <t>2025-04-26</t>
        </is>
      </c>
      <c r="C50" s="39" t="inlineStr"/>
      <c r="D50" s="86" t="inlineStr">
        <is>
          <t>Daryl Mitchell</t>
        </is>
      </c>
      <c r="E50" s="86" t="inlineStr">
        <is>
          <t>Sikandar Raza</t>
        </is>
      </c>
      <c r="F50" s="18" t="inlineStr">
        <is>
          <t>CRITICAL if 32+ balls</t>
        </is>
      </c>
      <c r="G50" s="18" t="inlineStr">
        <is>
          <t>32</t>
        </is>
      </c>
      <c r="H50" s="18" t="inlineStr">
        <is>
          <t>Pace (68% avg)</t>
        </is>
      </c>
      <c r="I50" s="87" t="inlineStr">
        <is>
          <t>LQ chase — Raza 40*</t>
        </is>
      </c>
      <c r="J50" s="88" t="inlineStr"/>
      <c r="K50" s="88" t="inlineStr"/>
      <c r="L50" s="88" t="inlineStr"/>
    </row>
    <row r="51" ht="22" customHeight="1">
      <c r="A51" s="36" t="n">
        <v>16</v>
      </c>
      <c r="B51" s="36" t="inlineStr">
        <is>
          <t>2025-04-26</t>
        </is>
      </c>
      <c r="C51" s="37" t="inlineStr"/>
      <c r="D51" s="88" t="inlineStr">
        <is>
          <t>TBC</t>
        </is>
      </c>
      <c r="E51" s="88" t="inlineStr">
        <is>
          <t>TBC</t>
        </is>
      </c>
      <c r="F51" s="18" t="inlineStr">
        <is>
          <t>CRITICAL if 32+ balls</t>
        </is>
      </c>
      <c r="G51" s="18" t="inlineStr">
        <is>
          <t>32</t>
        </is>
      </c>
      <c r="H51" s="18" t="inlineStr">
        <is>
          <t>Pace (68% avg)</t>
        </is>
      </c>
      <c r="I51" s="18" t="inlineStr">
        <is>
          <t>Pace / Spin change</t>
        </is>
      </c>
      <c r="J51" s="88" t="inlineStr"/>
      <c r="K51" s="88" t="inlineStr"/>
      <c r="L51" s="88" t="inlineStr"/>
    </row>
    <row r="52" ht="22" customHeight="1">
      <c r="A52" s="36" t="n">
        <v>17</v>
      </c>
      <c r="B52" s="36" t="inlineStr">
        <is>
          <t>2025-04-27</t>
        </is>
      </c>
      <c r="C52" s="37" t="inlineStr">
        <is>
          <t>Islamabad United</t>
        </is>
      </c>
      <c r="D52" s="88" t="inlineStr">
        <is>
          <t>TBC</t>
        </is>
      </c>
      <c r="E52" s="88" t="inlineStr">
        <is>
          <t>TBC</t>
        </is>
      </c>
      <c r="F52" s="18" t="inlineStr">
        <is>
          <t>CRITICAL if 32+ balls</t>
        </is>
      </c>
      <c r="G52" s="18" t="inlineStr">
        <is>
          <t>32</t>
        </is>
      </c>
      <c r="H52" s="18" t="inlineStr">
        <is>
          <t>Pace (68% avg)</t>
        </is>
      </c>
      <c r="I52" s="87" t="inlineStr">
        <is>
          <t>PZ bat</t>
        </is>
      </c>
      <c r="J52" s="88" t="inlineStr"/>
      <c r="K52" s="88" t="inlineStr"/>
      <c r="L52" s="88" t="inlineStr"/>
    </row>
    <row r="53" ht="22" customHeight="1">
      <c r="A53" s="38" t="n">
        <v>17</v>
      </c>
      <c r="B53" s="38" t="inlineStr">
        <is>
          <t>2025-04-27</t>
        </is>
      </c>
      <c r="C53" s="39" t="inlineStr"/>
      <c r="D53" s="88" t="inlineStr">
        <is>
          <t>TBC</t>
        </is>
      </c>
      <c r="E53" s="88" t="inlineStr">
        <is>
          <t>TBC</t>
        </is>
      </c>
      <c r="F53" s="18" t="inlineStr">
        <is>
          <t>CRITICAL if 32+ balls</t>
        </is>
      </c>
      <c r="G53" s="18" t="inlineStr">
        <is>
          <t>32</t>
        </is>
      </c>
      <c r="H53" s="18" t="inlineStr">
        <is>
          <t>Pace (68% avg)</t>
        </is>
      </c>
      <c r="I53" s="87" t="inlineStr">
        <is>
          <t>IU chase</t>
        </is>
      </c>
      <c r="J53" s="88" t="inlineStr"/>
      <c r="K53" s="88" t="inlineStr"/>
      <c r="L53" s="88" t="inlineStr"/>
    </row>
    <row r="54" ht="22" customHeight="1">
      <c r="A54" s="36" t="n">
        <v>17</v>
      </c>
      <c r="B54" s="36" t="inlineStr">
        <is>
          <t>2025-04-27</t>
        </is>
      </c>
      <c r="C54" s="37" t="inlineStr"/>
      <c r="D54" s="88" t="inlineStr">
        <is>
          <t>TBC</t>
        </is>
      </c>
      <c r="E54" s="88" t="inlineStr">
        <is>
          <t>TBC</t>
        </is>
      </c>
      <c r="F54" s="18" t="inlineStr">
        <is>
          <t>CRITICAL if 32+ balls</t>
        </is>
      </c>
      <c r="G54" s="18" t="inlineStr">
        <is>
          <t>32</t>
        </is>
      </c>
      <c r="H54" s="18" t="inlineStr">
        <is>
          <t>Pace (68% avg)</t>
        </is>
      </c>
      <c r="I54" s="18" t="inlineStr">
        <is>
          <t>Pace / Spin change</t>
        </is>
      </c>
      <c r="J54" s="88" t="inlineStr"/>
      <c r="K54" s="88" t="inlineStr"/>
      <c r="L54" s="88" t="inlineStr"/>
    </row>
    <row r="55" ht="22" customHeight="1">
      <c r="A55" s="36" t="n">
        <v>18</v>
      </c>
      <c r="B55" s="36" t="inlineStr">
        <is>
          <t>2025-04-28</t>
        </is>
      </c>
      <c r="C55" s="37" t="inlineStr">
        <is>
          <t>Quetta Gladiators</t>
        </is>
      </c>
      <c r="D55" s="88" t="inlineStr">
        <is>
          <t>TBC</t>
        </is>
      </c>
      <c r="E55" s="88" t="inlineStr">
        <is>
          <t>TBC</t>
        </is>
      </c>
      <c r="F55" s="18" t="inlineStr">
        <is>
          <t>CRITICAL if 32+ balls</t>
        </is>
      </c>
      <c r="G55" s="18" t="inlineStr">
        <is>
          <t>32</t>
        </is>
      </c>
      <c r="H55" s="18" t="inlineStr">
        <is>
          <t>Pace (68% avg)</t>
        </is>
      </c>
      <c r="I55" s="87" t="inlineStr">
        <is>
          <t>QG bat</t>
        </is>
      </c>
      <c r="J55" s="88" t="inlineStr"/>
      <c r="K55" s="88" t="inlineStr"/>
      <c r="L55" s="88" t="inlineStr"/>
    </row>
    <row r="56" ht="22" customHeight="1">
      <c r="A56" s="38" t="n">
        <v>18</v>
      </c>
      <c r="B56" s="38" t="inlineStr">
        <is>
          <t>2025-04-28</t>
        </is>
      </c>
      <c r="C56" s="39" t="inlineStr"/>
      <c r="D56" s="86" t="inlineStr">
        <is>
          <t>Mohammad Rizwan</t>
        </is>
      </c>
      <c r="E56" s="88" t="inlineStr">
        <is>
          <t>TBC</t>
        </is>
      </c>
      <c r="F56" s="18" t="inlineStr">
        <is>
          <t>CRITICAL if 32+ balls</t>
        </is>
      </c>
      <c r="G56" s="18" t="inlineStr">
        <is>
          <t>32</t>
        </is>
      </c>
      <c r="H56" s="18" t="inlineStr">
        <is>
          <t>Pace (68% avg)</t>
        </is>
      </c>
      <c r="I56" s="87" t="inlineStr">
        <is>
          <t>MS chase — Rizwan carried bat</t>
        </is>
      </c>
      <c r="J56" s="88" t="inlineStr"/>
      <c r="K56" s="88" t="inlineStr"/>
      <c r="L56" s="88" t="inlineStr"/>
    </row>
    <row r="57" ht="22" customHeight="1">
      <c r="A57" s="36" t="n">
        <v>18</v>
      </c>
      <c r="B57" s="36" t="inlineStr">
        <is>
          <t>2025-04-28</t>
        </is>
      </c>
      <c r="C57" s="37" t="inlineStr"/>
      <c r="D57" s="88" t="inlineStr">
        <is>
          <t>TBC</t>
        </is>
      </c>
      <c r="E57" s="88" t="inlineStr">
        <is>
          <t>TBC</t>
        </is>
      </c>
      <c r="F57" s="18" t="inlineStr">
        <is>
          <t>CRITICAL if 32+ balls</t>
        </is>
      </c>
      <c r="G57" s="18" t="inlineStr">
        <is>
          <t>32</t>
        </is>
      </c>
      <c r="H57" s="18" t="inlineStr">
        <is>
          <t>Pace (68% avg)</t>
        </is>
      </c>
      <c r="I57" s="18" t="inlineStr">
        <is>
          <t>Pace / Spin change</t>
        </is>
      </c>
      <c r="J57" s="88" t="inlineStr"/>
      <c r="K57" s="88" t="inlineStr"/>
      <c r="L57" s="88" t="inlineStr"/>
    </row>
    <row r="58" ht="22" customHeight="1">
      <c r="A58" s="36" t="n">
        <v>19</v>
      </c>
      <c r="B58" s="36" t="inlineStr">
        <is>
          <t>2025-04-29</t>
        </is>
      </c>
      <c r="C58" s="37" t="inlineStr">
        <is>
          <t>Karachi Kings</t>
        </is>
      </c>
      <c r="D58" s="86" t="inlineStr">
        <is>
          <t>Fakhar Zaman</t>
        </is>
      </c>
      <c r="E58" s="86" t="inlineStr">
        <is>
          <t>Muhammad Naeem</t>
        </is>
      </c>
      <c r="F58" s="18" t="inlineStr">
        <is>
          <t>CRITICAL if 32+ balls</t>
        </is>
      </c>
      <c r="G58" s="18" t="inlineStr">
        <is>
          <t>32</t>
        </is>
      </c>
      <c r="H58" s="18" t="inlineStr">
        <is>
          <t>Pace (68% avg)</t>
        </is>
      </c>
      <c r="I58" s="87" t="inlineStr">
        <is>
          <t>LQ bat</t>
        </is>
      </c>
      <c r="J58" s="88" t="inlineStr"/>
      <c r="K58" s="88" t="inlineStr"/>
      <c r="L58" s="88" t="inlineStr"/>
    </row>
    <row r="59" ht="22" customHeight="1">
      <c r="A59" s="38" t="n">
        <v>19</v>
      </c>
      <c r="B59" s="38" t="inlineStr">
        <is>
          <t>2025-04-29</t>
        </is>
      </c>
      <c r="C59" s="39" t="inlineStr"/>
      <c r="D59" s="86" t="inlineStr">
        <is>
          <t>Sikandar Raza</t>
        </is>
      </c>
      <c r="E59" s="86" t="inlineStr">
        <is>
          <t>Sam Billings</t>
        </is>
      </c>
      <c r="F59" s="18" t="inlineStr">
        <is>
          <t>CRITICAL if 32+ balls</t>
        </is>
      </c>
      <c r="G59" s="18" t="inlineStr">
        <is>
          <t>32</t>
        </is>
      </c>
      <c r="H59" s="18" t="inlineStr">
        <is>
          <t>Pace (68% avg)</t>
        </is>
      </c>
      <c r="I59" s="87" t="inlineStr">
        <is>
          <t>LQ bat death</t>
        </is>
      </c>
      <c r="J59" s="88" t="inlineStr"/>
      <c r="K59" s="88" t="inlineStr"/>
      <c r="L59" s="88" t="inlineStr"/>
    </row>
    <row r="60" ht="22" customHeight="1">
      <c r="A60" s="36" t="n">
        <v>19</v>
      </c>
      <c r="B60" s="36" t="inlineStr">
        <is>
          <t>2025-04-29</t>
        </is>
      </c>
      <c r="C60" s="37" t="inlineStr"/>
      <c r="D60" s="86" t="inlineStr">
        <is>
          <t>Andries Gous</t>
        </is>
      </c>
      <c r="E60" s="86" t="inlineStr">
        <is>
          <t>Salman Ali Agha</t>
        </is>
      </c>
      <c r="F60" s="18" t="inlineStr">
        <is>
          <t>CRITICAL if 32+ balls</t>
        </is>
      </c>
      <c r="G60" s="18" t="inlineStr">
        <is>
          <t>32</t>
        </is>
      </c>
      <c r="H60" s="18" t="inlineStr">
        <is>
          <t>Pace (68% avg)</t>
        </is>
      </c>
      <c r="I60" s="87" t="inlineStr">
        <is>
          <t>IU chase — 69 runs</t>
        </is>
      </c>
      <c r="J60" s="88" t="inlineStr"/>
      <c r="K60" s="88" t="inlineStr"/>
      <c r="L60" s="88" t="inlineStr"/>
    </row>
    <row r="61" ht="22" customHeight="1">
      <c r="A61" s="36" t="n">
        <v>20</v>
      </c>
      <c r="B61" s="36" t="inlineStr">
        <is>
          <t>2025-04-30</t>
        </is>
      </c>
      <c r="C61" s="37" t="inlineStr">
        <is>
          <t>Lahore Qalandars</t>
        </is>
      </c>
      <c r="D61" s="86" t="inlineStr">
        <is>
          <t>Babar Azam</t>
        </is>
      </c>
      <c r="E61" s="88" t="inlineStr">
        <is>
          <t>TBC</t>
        </is>
      </c>
      <c r="F61" s="18" t="inlineStr">
        <is>
          <t>CRITICAL if 32+ balls</t>
        </is>
      </c>
      <c r="G61" s="18" t="inlineStr">
        <is>
          <t>32</t>
        </is>
      </c>
      <c r="H61" s="18" t="inlineStr">
        <is>
          <t>Pace (68% avg)</t>
        </is>
      </c>
      <c r="I61" s="87" t="inlineStr">
        <is>
          <t>PZ bat</t>
        </is>
      </c>
      <c r="J61" s="88" t="inlineStr"/>
      <c r="K61" s="88" t="inlineStr"/>
      <c r="L61" s="88" t="inlineStr"/>
    </row>
    <row r="62" ht="22" customHeight="1">
      <c r="A62" s="38" t="n">
        <v>20</v>
      </c>
      <c r="B62" s="38" t="inlineStr">
        <is>
          <t>2025-04-30</t>
        </is>
      </c>
      <c r="C62" s="39" t="inlineStr"/>
      <c r="D62" s="88" t="inlineStr">
        <is>
          <t>TBC</t>
        </is>
      </c>
      <c r="E62" s="88" t="inlineStr">
        <is>
          <t>TBC</t>
        </is>
      </c>
      <c r="F62" s="18" t="inlineStr">
        <is>
          <t>CRITICAL if 32+ balls</t>
        </is>
      </c>
      <c r="G62" s="18" t="inlineStr">
        <is>
          <t>32</t>
        </is>
      </c>
      <c r="H62" s="18" t="inlineStr">
        <is>
          <t>Pace (68% avg)</t>
        </is>
      </c>
      <c r="I62" s="87" t="inlineStr">
        <is>
          <t>LQ chase</t>
        </is>
      </c>
      <c r="J62" s="88" t="inlineStr"/>
      <c r="K62" s="88" t="inlineStr"/>
      <c r="L62" s="88" t="inlineStr"/>
    </row>
    <row r="63" ht="22" customHeight="1">
      <c r="A63" s="36" t="n">
        <v>20</v>
      </c>
      <c r="B63" s="36" t="inlineStr">
        <is>
          <t>2025-04-30</t>
        </is>
      </c>
      <c r="C63" s="37" t="inlineStr"/>
      <c r="D63" s="88" t="inlineStr">
        <is>
          <t>TBC</t>
        </is>
      </c>
      <c r="E63" s="88" t="inlineStr">
        <is>
          <t>TBC</t>
        </is>
      </c>
      <c r="F63" s="18" t="inlineStr">
        <is>
          <t>CRITICAL if 32+ balls</t>
        </is>
      </c>
      <c r="G63" s="18" t="inlineStr">
        <is>
          <t>32</t>
        </is>
      </c>
      <c r="H63" s="18" t="inlineStr">
        <is>
          <t>Pace (68% avg)</t>
        </is>
      </c>
      <c r="I63" s="18" t="inlineStr">
        <is>
          <t>Pace / Spin change</t>
        </is>
      </c>
      <c r="J63" s="88" t="inlineStr"/>
      <c r="K63" s="88" t="inlineStr"/>
      <c r="L63" s="88" t="inlineStr"/>
    </row>
    <row r="64" ht="22" customHeight="1">
      <c r="A64" s="36" t="n">
        <v>21</v>
      </c>
      <c r="B64" s="36" t="inlineStr">
        <is>
          <t>2025-05-01</t>
        </is>
      </c>
      <c r="C64" s="37" t="inlineStr">
        <is>
          <t>Islamabad United</t>
        </is>
      </c>
      <c r="D64" s="89" t="inlineStr">
        <is>
          <t>N/A — rain, no result</t>
        </is>
      </c>
      <c r="E64" s="89" t="inlineStr">
        <is>
          <t>N/A — rain, no result</t>
        </is>
      </c>
      <c r="F64" s="18" t="inlineStr">
        <is>
          <t>CRITICAL if 32+ balls</t>
        </is>
      </c>
      <c r="G64" s="18" t="inlineStr">
        <is>
          <t>32</t>
        </is>
      </c>
      <c r="H64" s="18" t="inlineStr">
        <is>
          <t>Pace (68% avg)</t>
        </is>
      </c>
      <c r="I64" s="87" t="inlineStr">
        <is>
          <t>Rain — no partnerships</t>
        </is>
      </c>
      <c r="J64" s="89" t="inlineStr">
        <is>
          <t>N/A — rain, no result</t>
        </is>
      </c>
      <c r="K64" s="89" t="inlineStr">
        <is>
          <t>N/A — rain, no result</t>
        </is>
      </c>
      <c r="L64" s="89" t="inlineStr">
        <is>
          <t>N/A — rain, no result</t>
        </is>
      </c>
    </row>
    <row r="65" ht="22" customHeight="1">
      <c r="A65" s="38" t="n">
        <v>21</v>
      </c>
      <c r="B65" s="38" t="inlineStr">
        <is>
          <t>2025-05-01</t>
        </is>
      </c>
      <c r="C65" s="39" t="inlineStr"/>
      <c r="D65" s="89" t="inlineStr">
        <is>
          <t>N/A — rain, no result</t>
        </is>
      </c>
      <c r="E65" s="89" t="inlineStr">
        <is>
          <t>N/A — rain, no result</t>
        </is>
      </c>
      <c r="F65" s="18" t="inlineStr">
        <is>
          <t>CRITICAL if 32+ balls</t>
        </is>
      </c>
      <c r="G65" s="18" t="inlineStr">
        <is>
          <t>32</t>
        </is>
      </c>
      <c r="H65" s="18" t="inlineStr">
        <is>
          <t>Pace (68% avg)</t>
        </is>
      </c>
      <c r="I65" s="18" t="inlineStr">
        <is>
          <t>Pace / Spin change</t>
        </is>
      </c>
      <c r="J65" s="89" t="inlineStr">
        <is>
          <t>N/A — rain, no result</t>
        </is>
      </c>
      <c r="K65" s="89" t="inlineStr">
        <is>
          <t>N/A — rain, no result</t>
        </is>
      </c>
      <c r="L65" s="89" t="inlineStr">
        <is>
          <t>N/A — rain, no result</t>
        </is>
      </c>
    </row>
    <row r="66" ht="22" customHeight="1">
      <c r="A66" s="36" t="n">
        <v>21</v>
      </c>
      <c r="B66" s="36" t="inlineStr">
        <is>
          <t>2025-05-01</t>
        </is>
      </c>
      <c r="C66" s="37" t="inlineStr"/>
      <c r="D66" s="89" t="inlineStr">
        <is>
          <t>N/A — rain, no result</t>
        </is>
      </c>
      <c r="E66" s="89" t="inlineStr">
        <is>
          <t>N/A — rain, no result</t>
        </is>
      </c>
      <c r="F66" s="18" t="inlineStr">
        <is>
          <t>CRITICAL if 32+ balls</t>
        </is>
      </c>
      <c r="G66" s="18" t="inlineStr">
        <is>
          <t>32</t>
        </is>
      </c>
      <c r="H66" s="18" t="inlineStr">
        <is>
          <t>Pace (68% avg)</t>
        </is>
      </c>
      <c r="I66" s="18" t="inlineStr">
        <is>
          <t>Pace / Spin change</t>
        </is>
      </c>
      <c r="J66" s="89" t="inlineStr">
        <is>
          <t>N/A — rain, no result</t>
        </is>
      </c>
      <c r="K66" s="89" t="inlineStr">
        <is>
          <t>N/A — rain, no result</t>
        </is>
      </c>
      <c r="L66" s="89" t="inlineStr">
        <is>
          <t>N/A — rain, no result</t>
        </is>
      </c>
    </row>
    <row r="67" ht="22" customHeight="1">
      <c r="A67" s="36" t="n">
        <v>22</v>
      </c>
      <c r="B67" s="36" t="inlineStr">
        <is>
          <t>2025-05-02</t>
        </is>
      </c>
      <c r="C67" s="37" t="inlineStr">
        <is>
          <t>Multan Sultans</t>
        </is>
      </c>
      <c r="D67" s="86" t="inlineStr">
        <is>
          <t>Fakhar Zaman</t>
        </is>
      </c>
      <c r="E67" s="86" t="inlineStr">
        <is>
          <t>Muhammad Naeem</t>
        </is>
      </c>
      <c r="F67" s="18" t="inlineStr">
        <is>
          <t>CRITICAL if 32+ balls</t>
        </is>
      </c>
      <c r="G67" s="18" t="inlineStr">
        <is>
          <t>32</t>
        </is>
      </c>
      <c r="H67" s="18" t="inlineStr">
        <is>
          <t>Pace (68% avg)</t>
        </is>
      </c>
      <c r="I67" s="87" t="inlineStr">
        <is>
          <t>LQ chase</t>
        </is>
      </c>
      <c r="J67" s="88" t="inlineStr"/>
      <c r="K67" s="88" t="inlineStr"/>
      <c r="L67" s="88" t="inlineStr"/>
    </row>
    <row r="68" ht="22" customHeight="1">
      <c r="A68" s="38" t="n">
        <v>22</v>
      </c>
      <c r="B68" s="38" t="inlineStr">
        <is>
          <t>2025-05-02</t>
        </is>
      </c>
      <c r="C68" s="39" t="inlineStr"/>
      <c r="D68" s="88" t="inlineStr">
        <is>
          <t>TBC</t>
        </is>
      </c>
      <c r="E68" s="88" t="inlineStr">
        <is>
          <t>TBC</t>
        </is>
      </c>
      <c r="F68" s="18" t="inlineStr">
        <is>
          <t>CRITICAL if 32+ balls</t>
        </is>
      </c>
      <c r="G68" s="18" t="inlineStr">
        <is>
          <t>32</t>
        </is>
      </c>
      <c r="H68" s="18" t="inlineStr">
        <is>
          <t>Pace (68% avg)</t>
        </is>
      </c>
      <c r="I68" s="87" t="inlineStr">
        <is>
          <t>IU bat</t>
        </is>
      </c>
      <c r="J68" s="88" t="inlineStr"/>
      <c r="K68" s="88" t="inlineStr"/>
      <c r="L68" s="88" t="inlineStr"/>
    </row>
    <row r="69" ht="22" customHeight="1">
      <c r="A69" s="36" t="n">
        <v>22</v>
      </c>
      <c r="B69" s="36" t="inlineStr">
        <is>
          <t>2025-05-02</t>
        </is>
      </c>
      <c r="C69" s="37" t="inlineStr"/>
      <c r="D69" s="88" t="inlineStr">
        <is>
          <t>TBC</t>
        </is>
      </c>
      <c r="E69" s="88" t="inlineStr">
        <is>
          <t>TBC</t>
        </is>
      </c>
      <c r="F69" s="18" t="inlineStr">
        <is>
          <t>CRITICAL if 32+ balls</t>
        </is>
      </c>
      <c r="G69" s="18" t="inlineStr">
        <is>
          <t>32</t>
        </is>
      </c>
      <c r="H69" s="18" t="inlineStr">
        <is>
          <t>Pace (68% avg)</t>
        </is>
      </c>
      <c r="I69" s="18" t="inlineStr">
        <is>
          <t>Pace / Spin change</t>
        </is>
      </c>
      <c r="J69" s="88" t="inlineStr"/>
      <c r="K69" s="88" t="inlineStr"/>
      <c r="L69" s="88" t="inlineStr"/>
    </row>
    <row r="70" ht="22" customHeight="1">
      <c r="A70" s="36" t="n">
        <v>23</v>
      </c>
      <c r="B70" s="36" t="inlineStr">
        <is>
          <t>2025-05-03</t>
        </is>
      </c>
      <c r="C70" s="37" t="inlineStr">
        <is>
          <t>Peshawar Zalmi</t>
        </is>
      </c>
      <c r="D70" s="88" t="inlineStr">
        <is>
          <t>TBC</t>
        </is>
      </c>
      <c r="E70" s="88" t="inlineStr">
        <is>
          <t>TBC</t>
        </is>
      </c>
      <c r="F70" s="18" t="inlineStr">
        <is>
          <t>CRITICAL if 32+ balls</t>
        </is>
      </c>
      <c r="G70" s="18" t="inlineStr">
        <is>
          <t>32</t>
        </is>
      </c>
      <c r="H70" s="18" t="inlineStr">
        <is>
          <t>Pace (68% avg)</t>
        </is>
      </c>
      <c r="I70" s="87" t="inlineStr">
        <is>
          <t>QG bat</t>
        </is>
      </c>
      <c r="J70" s="88" t="inlineStr"/>
      <c r="K70" s="88" t="inlineStr"/>
      <c r="L70" s="88" t="inlineStr"/>
    </row>
    <row r="71" ht="22" customHeight="1">
      <c r="A71" s="38" t="n">
        <v>23</v>
      </c>
      <c r="B71" s="38" t="inlineStr">
        <is>
          <t>2025-05-03</t>
        </is>
      </c>
      <c r="C71" s="39" t="inlineStr"/>
      <c r="D71" s="88" t="inlineStr">
        <is>
          <t>TBC</t>
        </is>
      </c>
      <c r="E71" s="88" t="inlineStr">
        <is>
          <t>TBC</t>
        </is>
      </c>
      <c r="F71" s="18" t="inlineStr">
        <is>
          <t>CRITICAL if 32+ balls</t>
        </is>
      </c>
      <c r="G71" s="18" t="inlineStr">
        <is>
          <t>32</t>
        </is>
      </c>
      <c r="H71" s="18" t="inlineStr">
        <is>
          <t>Pace (68% avg)</t>
        </is>
      </c>
      <c r="I71" s="87" t="inlineStr">
        <is>
          <t>KK chase</t>
        </is>
      </c>
      <c r="J71" s="88" t="inlineStr"/>
      <c r="K71" s="88" t="inlineStr"/>
      <c r="L71" s="88" t="inlineStr"/>
    </row>
    <row r="72" ht="22" customHeight="1">
      <c r="A72" s="36" t="n">
        <v>23</v>
      </c>
      <c r="B72" s="36" t="inlineStr">
        <is>
          <t>2025-05-03</t>
        </is>
      </c>
      <c r="C72" s="37" t="inlineStr"/>
      <c r="D72" s="88" t="inlineStr">
        <is>
          <t>TBC</t>
        </is>
      </c>
      <c r="E72" s="88" t="inlineStr">
        <is>
          <t>TBC</t>
        </is>
      </c>
      <c r="F72" s="18" t="inlineStr">
        <is>
          <t>CRITICAL if 32+ balls</t>
        </is>
      </c>
      <c r="G72" s="18" t="inlineStr">
        <is>
          <t>32</t>
        </is>
      </c>
      <c r="H72" s="18" t="inlineStr">
        <is>
          <t>Pace (68% avg)</t>
        </is>
      </c>
      <c r="I72" s="18" t="inlineStr">
        <is>
          <t>Pace / Spin change</t>
        </is>
      </c>
      <c r="J72" s="88" t="inlineStr"/>
      <c r="K72" s="88" t="inlineStr"/>
      <c r="L72" s="88" t="inlineStr"/>
    </row>
    <row r="73" ht="22" customHeight="1">
      <c r="A73" s="36" t="n">
        <v>24</v>
      </c>
      <c r="B73" s="36" t="inlineStr">
        <is>
          <t>2025-05-04</t>
        </is>
      </c>
      <c r="C73" s="37" t="inlineStr">
        <is>
          <t>Quetta Gladiators</t>
        </is>
      </c>
      <c r="D73" s="88" t="inlineStr">
        <is>
          <t>TBC</t>
        </is>
      </c>
      <c r="E73" s="88" t="inlineStr">
        <is>
          <t>TBC</t>
        </is>
      </c>
      <c r="F73" s="18" t="inlineStr">
        <is>
          <t>CRITICAL if 32+ balls</t>
        </is>
      </c>
      <c r="G73" s="18" t="inlineStr">
        <is>
          <t>32</t>
        </is>
      </c>
      <c r="H73" s="18" t="inlineStr">
        <is>
          <t>Pace (68% avg)</t>
        </is>
      </c>
      <c r="I73" s="87" t="inlineStr">
        <is>
          <t>KK bat</t>
        </is>
      </c>
      <c r="J73" s="88" t="inlineStr"/>
      <c r="K73" s="88" t="inlineStr"/>
      <c r="L73" s="88" t="inlineStr"/>
    </row>
    <row r="74" ht="22" customHeight="1">
      <c r="A74" s="38" t="n">
        <v>24</v>
      </c>
      <c r="B74" s="38" t="inlineStr">
        <is>
          <t>2025-05-04</t>
        </is>
      </c>
      <c r="C74" s="39" t="inlineStr"/>
      <c r="D74" s="88" t="inlineStr">
        <is>
          <t>TBC</t>
        </is>
      </c>
      <c r="E74" s="88" t="inlineStr">
        <is>
          <t>TBC</t>
        </is>
      </c>
      <c r="F74" s="18" t="inlineStr">
        <is>
          <t>CRITICAL if 32+ balls</t>
        </is>
      </c>
      <c r="G74" s="18" t="inlineStr">
        <is>
          <t>32</t>
        </is>
      </c>
      <c r="H74" s="18" t="inlineStr">
        <is>
          <t>Pace (68% avg)</t>
        </is>
      </c>
      <c r="I74" s="87" t="inlineStr">
        <is>
          <t>PZ chase — rain 15 overs</t>
        </is>
      </c>
      <c r="J74" s="88" t="inlineStr"/>
      <c r="K74" s="88" t="inlineStr"/>
      <c r="L74" s="88" t="inlineStr"/>
    </row>
    <row r="75" ht="22" customHeight="1">
      <c r="A75" s="36" t="n">
        <v>24</v>
      </c>
      <c r="B75" s="36" t="inlineStr">
        <is>
          <t>2025-05-04</t>
        </is>
      </c>
      <c r="C75" s="37" t="inlineStr"/>
      <c r="D75" s="88" t="inlineStr">
        <is>
          <t>TBC</t>
        </is>
      </c>
      <c r="E75" s="88" t="inlineStr">
        <is>
          <t>TBC</t>
        </is>
      </c>
      <c r="F75" s="18" t="inlineStr">
        <is>
          <t>CRITICAL if 32+ balls</t>
        </is>
      </c>
      <c r="G75" s="18" t="inlineStr">
        <is>
          <t>32</t>
        </is>
      </c>
      <c r="H75" s="18" t="inlineStr">
        <is>
          <t>Pace (68% avg)</t>
        </is>
      </c>
      <c r="I75" s="18" t="inlineStr">
        <is>
          <t>Pace / Spin change</t>
        </is>
      </c>
      <c r="J75" s="88" t="inlineStr"/>
      <c r="K75" s="88" t="inlineStr"/>
      <c r="L75" s="88" t="inlineStr"/>
    </row>
    <row r="76" ht="22" customHeight="1">
      <c r="A76" s="36" t="n">
        <v>25</v>
      </c>
      <c r="B76" s="36" t="inlineStr">
        <is>
          <t>2025-05-05</t>
        </is>
      </c>
      <c r="C76" s="37" t="inlineStr">
        <is>
          <t>Multan Sultans</t>
        </is>
      </c>
      <c r="D76" s="88" t="inlineStr">
        <is>
          <t>TBC</t>
        </is>
      </c>
      <c r="E76" s="88" t="inlineStr">
        <is>
          <t>TBC</t>
        </is>
      </c>
      <c r="F76" s="18" t="inlineStr">
        <is>
          <t>CRITICAL if 32+ balls</t>
        </is>
      </c>
      <c r="G76" s="18" t="inlineStr">
        <is>
          <t>32</t>
        </is>
      </c>
      <c r="H76" s="18" t="inlineStr">
        <is>
          <t>Pace (68% avg)</t>
        </is>
      </c>
      <c r="I76" s="87" t="inlineStr">
        <is>
          <t>MS bat</t>
        </is>
      </c>
      <c r="J76" s="88" t="inlineStr"/>
      <c r="K76" s="88" t="inlineStr"/>
      <c r="L76" s="88" t="inlineStr"/>
    </row>
    <row r="77" ht="22" customHeight="1">
      <c r="A77" s="38" t="n">
        <v>25</v>
      </c>
      <c r="B77" s="38" t="inlineStr">
        <is>
          <t>2025-05-05</t>
        </is>
      </c>
      <c r="C77" s="39" t="inlineStr"/>
      <c r="D77" s="88" t="inlineStr">
        <is>
          <t>TBC</t>
        </is>
      </c>
      <c r="E77" s="88" t="inlineStr">
        <is>
          <t>TBC</t>
        </is>
      </c>
      <c r="F77" s="18" t="inlineStr">
        <is>
          <t>CRITICAL if 32+ balls</t>
        </is>
      </c>
      <c r="G77" s="18" t="inlineStr">
        <is>
          <t>32</t>
        </is>
      </c>
      <c r="H77" s="18" t="inlineStr">
        <is>
          <t>Pace (68% avg)</t>
        </is>
      </c>
      <c r="I77" s="87" t="inlineStr">
        <is>
          <t>LQ chase</t>
        </is>
      </c>
      <c r="J77" s="88" t="inlineStr"/>
      <c r="K77" s="88" t="inlineStr"/>
      <c r="L77" s="88" t="inlineStr"/>
    </row>
    <row r="78" ht="22" customHeight="1">
      <c r="A78" s="36" t="n">
        <v>25</v>
      </c>
      <c r="B78" s="36" t="inlineStr">
        <is>
          <t>2025-05-05</t>
        </is>
      </c>
      <c r="C78" s="37" t="inlineStr"/>
      <c r="D78" s="88" t="inlineStr">
        <is>
          <t>TBC</t>
        </is>
      </c>
      <c r="E78" s="88" t="inlineStr">
        <is>
          <t>TBC</t>
        </is>
      </c>
      <c r="F78" s="18" t="inlineStr">
        <is>
          <t>CRITICAL if 32+ balls</t>
        </is>
      </c>
      <c r="G78" s="18" t="inlineStr">
        <is>
          <t>32</t>
        </is>
      </c>
      <c r="H78" s="18" t="inlineStr">
        <is>
          <t>Pace (68% avg)</t>
        </is>
      </c>
      <c r="I78" s="18" t="inlineStr">
        <is>
          <t>Pace / Spin change</t>
        </is>
      </c>
      <c r="J78" s="88" t="inlineStr"/>
      <c r="K78" s="88" t="inlineStr"/>
      <c r="L78" s="88" t="inlineStr"/>
    </row>
    <row r="80" ht="18" customHeight="1">
      <c r="A80" s="90" t="inlineStr">
        <is>
          <t>KEY:   GREEN = pre-filled from match reports   |   YELLOW = confirm or fill from scorecard   |   TBC = check Cricinfo partnerships tab</t>
        </is>
      </c>
    </row>
  </sheetData>
  <mergeCells count="5">
    <mergeCell ref="J2:L2"/>
    <mergeCell ref="A2:E2"/>
    <mergeCell ref="F2:I2"/>
    <mergeCell ref="A1:L1"/>
    <mergeCell ref="A80:B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0" customWidth="1" min="5" max="5"/>
    <col width="35" customWidth="1" min="6" max="6"/>
  </cols>
  <sheetData>
    <row r="1" ht="32" customHeight="1">
      <c r="A1" s="33" t="inlineStr">
        <is>
          <t>TOSS ACCURACY SUMMARY  |  Auto-populated from Back-Test Log</t>
        </is>
      </c>
    </row>
    <row r="3">
      <c r="A3" s="78" t="inlineStr">
        <is>
          <t>METRIC</t>
        </is>
      </c>
      <c r="B3" s="41" t="inlineStr">
        <is>
          <t>FORMULA</t>
        </is>
      </c>
    </row>
    <row r="4">
      <c r="A4" s="42" t="inlineStr">
        <is>
          <t>Total matches entered</t>
        </is>
      </c>
      <c r="B4" s="43">
        <f>COUNTA('Back-Test Log'!T4:T37)</f>
        <v/>
      </c>
    </row>
    <row r="5">
      <c r="A5" s="42" t="inlineStr">
        <is>
          <t>Toss calls correct</t>
        </is>
      </c>
      <c r="B5" s="43">
        <f>COUNTIF('Back-Test Log'!T4:T37,"✓ CORRECT")</f>
        <v/>
      </c>
    </row>
    <row r="6">
      <c r="A6" s="42" t="inlineStr">
        <is>
          <t>Toss calls wrong</t>
        </is>
      </c>
      <c r="B6" s="43">
        <f>COUNTIF('Back-Test Log'!T4:T37,"✗ WRONG")</f>
        <v/>
      </c>
    </row>
    <row r="7">
      <c r="A7" s="42" t="inlineStr">
        <is>
          <t>Accuracy %</t>
        </is>
      </c>
      <c r="B7" s="44">
        <f>IF(B4=0,"",B5/B4)</f>
        <v/>
      </c>
    </row>
    <row r="9">
      <c r="A9" s="78" t="inlineStr">
        <is>
          <t>BY VENUE</t>
        </is>
      </c>
      <c r="B9" s="41" t="inlineStr">
        <is>
          <t>Total</t>
        </is>
      </c>
    </row>
    <row r="10">
      <c r="A10" s="45" t="inlineStr">
        <is>
          <t>National Stadium, Karachi</t>
        </is>
      </c>
      <c r="B10" s="46">
        <f>COUNTIFS('Back-Test Log'!E4:E37,"National Stadium, Karachi",'Back-Test Log'!T4:T37,"✓ CORRECT")</f>
        <v/>
      </c>
      <c r="C10" s="46">
        <f>COUNTIF('Back-Test Log'!E4:E37,"National Stadium, Karachi")</f>
        <v/>
      </c>
      <c r="D10" s="47">
        <f>IF(C10=0,"",B10/C10)</f>
        <v/>
      </c>
      <c r="E10" s="48" t="inlineStr">
        <is>
          <t>Sys: BOWL FIRST</t>
        </is>
      </c>
    </row>
    <row r="11">
      <c r="A11" s="49" t="inlineStr">
        <is>
          <t>Gaddafi Stadium, Lahore</t>
        </is>
      </c>
      <c r="B11" s="50">
        <f>COUNTIFS('Back-Test Log'!E4:E37,"Gaddafi Stadium, Lahore",'Back-Test Log'!T4:T37,"✓ CORRECT")</f>
        <v/>
      </c>
      <c r="C11" s="50">
        <f>COUNTIF('Back-Test Log'!E4:E37,"Gaddafi Stadium, Lahore")</f>
        <v/>
      </c>
      <c r="D11" s="51">
        <f>IF(C11=0,"",B11/C11)</f>
        <v/>
      </c>
      <c r="E11" s="52" t="inlineStr">
        <is>
          <t>Sys: TOSS-UP</t>
        </is>
      </c>
    </row>
    <row r="12">
      <c r="A12" s="45" t="inlineStr">
        <is>
          <t>Rawalpindi Cricket Stadium</t>
        </is>
      </c>
      <c r="B12" s="46">
        <f>COUNTIFS('Back-Test Log'!E4:E37,"Rawalpindi Cricket Stadium",'Back-Test Log'!T4:T37,"✓ CORRECT")</f>
        <v/>
      </c>
      <c r="C12" s="46">
        <f>COUNTIF('Back-Test Log'!E4:E37,"Rawalpindi Cricket Stadium")</f>
        <v/>
      </c>
      <c r="D12" s="47">
        <f>IF(C12=0,"",B12/C12)</f>
        <v/>
      </c>
      <c r="E12" s="48" t="inlineStr">
        <is>
          <t>Sys: TOSS-UP</t>
        </is>
      </c>
    </row>
    <row r="13">
      <c r="A13" s="49" t="inlineStr">
        <is>
          <t>Multan Cricket Stadium</t>
        </is>
      </c>
      <c r="B13" s="50">
        <f>COUNTIFS('Back-Test Log'!E4:E37,"Multan Cricket Stadium",'Back-Test Log'!T4:T37,"✓ CORRECT")</f>
        <v/>
      </c>
      <c r="C13" s="50">
        <f>COUNTIF('Back-Test Log'!E4:E37,"Multan Cricket Stadium")</f>
        <v/>
      </c>
      <c r="D13" s="51">
        <f>IF(C13=0,"",B13/C13)</f>
        <v/>
      </c>
      <c r="E13" s="52" t="inlineStr">
        <is>
          <t>Sys: BAT FIRST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32" customHeight="1">
      <c r="A1" s="70" t="inlineStr">
        <is>
          <t>PSL DECISION ENGINE  —  BACK-TEST INSTRUCTIONS</t>
        </is>
      </c>
    </row>
    <row r="2" ht="8" customHeight="1">
      <c r="A2" s="71" t="n"/>
      <c r="B2" s="71" t="n"/>
    </row>
    <row r="3" ht="20" customHeight="1">
      <c r="A3" s="72" t="inlineStr">
        <is>
          <t>PURPOSE</t>
        </is>
      </c>
      <c r="B3" s="71" t="n"/>
    </row>
    <row r="4" ht="18" customHeight="1">
      <c r="A4" s="71" t="n"/>
      <c r="B4" s="55" t="inlineStr">
        <is>
          <t>Validate whether the system's toss recommendations, partnership danger thresholds,</t>
        </is>
      </c>
    </row>
    <row r="5" ht="18" customHeight="1">
      <c r="A5" s="71" t="n"/>
      <c r="B5" s="55" t="inlineStr">
        <is>
          <t>and key match intelligence align with what actually happened in PSL 2025.</t>
        </is>
      </c>
    </row>
    <row r="6" ht="8" customHeight="1">
      <c r="A6" s="71" t="n"/>
      <c r="B6" s="71" t="n"/>
    </row>
    <row r="7" ht="22" customHeight="1">
      <c r="A7" s="58" t="inlineStr">
        <is>
          <t>CURRENT STATUS  —  what is already filled in</t>
        </is>
      </c>
    </row>
    <row r="8" ht="20" customHeight="1">
      <c r="A8" s="73" t="inlineStr">
        <is>
          <t>K  — Toss winner</t>
        </is>
      </c>
      <c r="B8" s="74" t="inlineStr">
        <is>
          <t>34/34 filled automatically from Wikipedia + news sources</t>
        </is>
      </c>
    </row>
    <row r="9" ht="20" customHeight="1">
      <c r="A9" s="73" t="inlineStr">
        <is>
          <t>L  — Toss decision</t>
        </is>
      </c>
      <c r="B9" s="74" t="inlineStr">
        <is>
          <t>34/34 filled automatically from Wikipedia + news sources</t>
        </is>
      </c>
    </row>
    <row r="10" ht="20" customHeight="1">
      <c r="A10" s="73" t="inlineStr">
        <is>
          <t>M  — Match winner</t>
        </is>
      </c>
      <c r="B10" s="74" t="inlineStr">
        <is>
          <t>34/34 filled automatically from Wikipedia</t>
        </is>
      </c>
    </row>
    <row r="11" ht="20" customHeight="1">
      <c r="A11" s="73" t="inlineStr">
        <is>
          <t>N  — Margin</t>
        </is>
      </c>
      <c r="B11" s="74" t="inlineStr">
        <is>
          <t>33/34 filled  (match 21 = No Result, margin = 0)</t>
        </is>
      </c>
    </row>
    <row r="12" ht="20" customHeight="1">
      <c r="A12" s="73" t="inlineStr">
        <is>
          <t>O  — Runs or wickets</t>
        </is>
      </c>
      <c r="B12" s="74" t="inlineStr">
        <is>
          <t>33/34 filled  (match 21 = NR)</t>
        </is>
      </c>
    </row>
    <row r="13" ht="20" customHeight="1">
      <c r="A13" s="75" t="inlineStr">
        <is>
          <t>S  — Notes</t>
        </is>
      </c>
      <c r="B13" s="74" t="inlineStr">
        <is>
          <t>16/34 filled  (key matches: rain, records, milestones)</t>
        </is>
      </c>
    </row>
    <row r="14" ht="20" customHeight="1">
      <c r="A14" s="76" t="inlineStr">
        <is>
          <t>T  — Verdict</t>
        </is>
      </c>
      <c r="B14" s="74" t="inlineStr">
        <is>
          <t>FORMULA — calculates automatically from K and L. No input needed.</t>
        </is>
      </c>
    </row>
    <row r="15" ht="8" customHeight="1">
      <c r="A15" s="71" t="n"/>
      <c r="B15" s="71" t="n"/>
    </row>
    <row r="16" ht="22" customHeight="1">
      <c r="A16" s="77" t="inlineStr">
        <is>
          <t>WHAT YOU STILL NEED TO FILL  —  3 yellow columns, all 34 matches</t>
        </is>
      </c>
    </row>
    <row r="17" ht="20" customHeight="1">
      <c r="A17" s="78" t="inlineStr">
        <is>
          <t>Col P  — Biggest partnership</t>
        </is>
      </c>
      <c r="B17" s="79" t="inlineStr">
        <is>
          <t>The highest partnership runs in the match (both innings combined).</t>
        </is>
      </c>
    </row>
    <row r="18" ht="20" customHeight="1">
      <c r="A18" s="71" t="n"/>
      <c r="B18" s="80" t="inlineStr">
        <is>
          <t>Go to Cricinfo scorecard → click 'Partnerships' tab → take the largest number shown.</t>
        </is>
      </c>
    </row>
    <row r="19" ht="20" customHeight="1">
      <c r="A19" s="71" t="n"/>
      <c r="B19" s="81" t="inlineStr">
        <is>
          <t>~30 seconds per match.</t>
        </is>
      </c>
    </row>
    <row r="20" ht="5" customHeight="1">
      <c r="A20" s="71" t="n"/>
      <c r="B20" s="71" t="n"/>
    </row>
    <row r="21" ht="20" customHeight="1">
      <c r="A21" s="78" t="inlineStr">
        <is>
          <t>Col Q  — How was it broken</t>
        </is>
      </c>
      <c r="B21" s="79" t="inlineStr">
        <is>
          <t>Type exactly one of:  pace   spin   change   run out</t>
        </is>
      </c>
    </row>
    <row r="22" ht="20" customHeight="1">
      <c r="A22" s="71" t="n"/>
      <c r="B22" s="80" t="inlineStr">
        <is>
          <t>Same Partnerships tab. Look at the dismissal — caught off pace = 'pace', spinner/stumped = 'spin', tactical change bowler = 'change', run out = 'run out'.</t>
        </is>
      </c>
    </row>
    <row r="23" ht="20" customHeight="1">
      <c r="A23" s="71" t="n"/>
      <c r="B23" s="81" t="inlineStr">
        <is>
          <t>~20 seconds per match.</t>
        </is>
      </c>
    </row>
    <row r="24" ht="5" customHeight="1">
      <c r="A24" s="71" t="n"/>
      <c r="B24" s="71" t="n"/>
    </row>
    <row r="25" ht="20" customHeight="1">
      <c r="A25" s="78" t="inlineStr">
        <is>
          <t>Col R  — Death over economy</t>
        </is>
      </c>
      <c r="B25" s="79" t="inlineStr">
        <is>
          <t>Average runs per over across overs 17–20 of whichever innings had more death bowling.</t>
        </is>
      </c>
    </row>
    <row r="26" ht="20" customHeight="1">
      <c r="A26" s="71" t="n"/>
      <c r="B26" s="80" t="inlineStr">
        <is>
          <t>Go to 'Ball by Ball' tab on Cricinfo. Add runs in overs 17, 18, 19, 20 and divide by 4. Or check bowler figures for death bowlers and average their economies.</t>
        </is>
      </c>
    </row>
    <row r="27" ht="20" customHeight="1">
      <c r="A27" s="71" t="n"/>
      <c r="B27" s="81" t="inlineStr">
        <is>
          <t>~60 seconds per match.  This column is optional for first-pass analysis.</t>
        </is>
      </c>
    </row>
    <row r="28" ht="5" customHeight="1">
      <c r="A28" s="71" t="n"/>
      <c r="B28" s="71" t="n"/>
    </row>
    <row r="29" ht="20" customHeight="1">
      <c r="A29" s="78" t="inlineStr">
        <is>
          <t>Col S  — Notes  (partially filled)</t>
        </is>
      </c>
      <c r="B29" s="79" t="inlineStr">
        <is>
          <t>Add anything unusual: dew visible, pitch two-paced, shortened game, key injury, rain interruption.</t>
        </is>
      </c>
    </row>
    <row r="30" ht="20" customHeight="1">
      <c r="A30" s="71" t="n"/>
      <c r="B30" s="80" t="inlineStr">
        <is>
          <t>Only fill matches where something notable happened. 18 matches already have notes.</t>
        </is>
      </c>
    </row>
    <row r="31" ht="20" customHeight="1">
      <c r="A31" s="71" t="n"/>
      <c r="B31" s="80" t="inlineStr">
        <is>
          <t>Optional — only fill if you remember or notice something from the match.</t>
        </is>
      </c>
    </row>
    <row r="32" ht="5" customHeight="1">
      <c r="A32" s="71" t="n"/>
      <c r="B32" s="71" t="n"/>
    </row>
    <row r="33" ht="8" customHeight="1">
      <c r="A33" s="71" t="n"/>
      <c r="B33" s="71" t="n"/>
    </row>
    <row r="34" ht="22" customHeight="1">
      <c r="A34" s="82" t="inlineStr">
        <is>
          <t>HOW TO ACCESS SCORECARDS ON CRICINFO</t>
        </is>
      </c>
    </row>
    <row r="35" ht="20" customHeight="1">
      <c r="A35" s="76" t="inlineStr">
        <is>
          <t>Step 1</t>
        </is>
      </c>
      <c r="B35" s="83" t="inlineStr">
        <is>
          <t>Go to:  espncricinfo.com/series/pakistan-super-league-2025-1434269/match-schedule-fixtures-and-results</t>
        </is>
      </c>
    </row>
    <row r="36" ht="20" customHeight="1">
      <c r="A36" s="76" t="inlineStr">
        <is>
          <t>Step 2</t>
        </is>
      </c>
      <c r="B36" s="83" t="inlineStr">
        <is>
          <t>Click any match result to open the scorecard.</t>
        </is>
      </c>
    </row>
    <row r="37" ht="20" customHeight="1">
      <c r="A37" s="76" t="inlineStr">
        <is>
          <t>Step 3</t>
        </is>
      </c>
      <c r="B37" s="83" t="inlineStr">
        <is>
          <t>For Column P and Q:  click the 'Partnerships' tab at the top of the scorecard.</t>
        </is>
      </c>
    </row>
    <row r="38" ht="20" customHeight="1">
      <c r="A38" s="76" t="inlineStr">
        <is>
          <t>Step 4</t>
        </is>
      </c>
      <c r="B38" s="83" t="inlineStr">
        <is>
          <t>For Column R:  click 'Ball by Ball' or 'Over by Over' — find overs 17-20 and add up the runs.</t>
        </is>
      </c>
    </row>
    <row r="39" ht="20" customHeight="1">
      <c r="A39" s="76" t="inlineStr">
        <is>
          <t>Tip</t>
        </is>
      </c>
      <c r="B39" s="83" t="inlineStr">
        <is>
          <t>The scorecard URL pattern is always the same — just change the match number/name at the end for each match.</t>
        </is>
      </c>
    </row>
    <row r="40" ht="20" customHeight="1">
      <c r="A40" s="76" t="inlineStr">
        <is>
          <t>Fastest method</t>
        </is>
      </c>
      <c r="B40" s="83" t="inlineStr">
        <is>
          <t>Open all 34 scorecards as tabs, then go through them one by one filling P, Q, R before closing.</t>
        </is>
      </c>
    </row>
    <row r="41" ht="8" customHeight="1"/>
    <row r="42" ht="22" customHeight="1">
      <c r="A42" s="72" t="inlineStr">
        <is>
          <t>TIME ESTIMATE</t>
        </is>
      </c>
    </row>
    <row r="43" ht="20" customHeight="1">
      <c r="A43" s="84" t="inlineStr">
        <is>
          <t>Columns K–O, S</t>
        </is>
      </c>
      <c r="B43" s="83" t="inlineStr">
        <is>
          <t>Already done. Nothing to enter.</t>
        </is>
      </c>
    </row>
    <row r="44" ht="20" customHeight="1">
      <c r="A44" s="84" t="inlineStr">
        <is>
          <t>Column P only</t>
        </is>
      </c>
      <c r="B44" s="83" t="inlineStr">
        <is>
          <t>~17 minutes  (30 sec × 34 matches)</t>
        </is>
      </c>
    </row>
    <row r="45" ht="20" customHeight="1">
      <c r="A45" s="84" t="inlineStr">
        <is>
          <t>Columns P + Q</t>
        </is>
      </c>
      <c r="B45" s="83" t="inlineStr">
        <is>
          <t>~27 minutes  (50 sec × 34 matches) — recommended minimum</t>
        </is>
      </c>
    </row>
    <row r="46" ht="20" customHeight="1">
      <c r="A46" s="84" t="inlineStr">
        <is>
          <t>Columns P + Q + R</t>
        </is>
      </c>
      <c r="B46" s="83" t="inlineStr">
        <is>
          <t>~50 minutes  (90 sec × 34 matches) — full back-test</t>
        </is>
      </c>
    </row>
    <row r="47" ht="20" customHeight="1">
      <c r="A47" s="84" t="inlineStr">
        <is>
          <t>Priority order</t>
        </is>
      </c>
      <c r="B47" s="83" t="inlineStr">
        <is>
          <t>Do P and Q first. Sheet 3 toss accuracy auto-updates immediately. Partnership threshold check uses P and Q. Death economy (R) is useful but not required for the first calibration run.</t>
        </is>
      </c>
    </row>
    <row r="48" ht="8" customHeight="1"/>
    <row r="49" ht="22" customHeight="1">
      <c r="A49" s="58" t="inlineStr">
        <is>
          <t>AFTER FILLING  —  what happens next</t>
        </is>
      </c>
    </row>
    <row r="50" ht="20" customHeight="1">
      <c r="A50" s="85" t="inlineStr">
        <is>
          <t>Sheet 3 auto-updates</t>
        </is>
      </c>
      <c r="B50" s="83" t="inlineStr">
        <is>
          <t>Toss Accuracy sheet calculates instantly — overall accuracy % and per-venue breakdown are live the moment you save.</t>
        </is>
      </c>
    </row>
    <row r="51" ht="20" customHeight="1">
      <c r="A51" s="85" t="inlineStr">
        <is>
          <t>Share the file</t>
        </is>
      </c>
      <c r="B51" s="83" t="inlineStr">
        <is>
          <t>Send the completed file back to Claude.</t>
        </is>
      </c>
    </row>
    <row r="52" ht="20" customHeight="1">
      <c r="A52" s="85" t="inlineStr">
        <is>
          <t>Claude will then:</t>
        </is>
      </c>
      <c r="B52" s="83" t="inlineStr"/>
    </row>
    <row r="53" ht="20" customHeight="1">
      <c r="A53" s="74" t="inlineStr">
        <is>
          <t xml:space="preserve">  1.</t>
        </is>
      </c>
      <c r="B53" s="83" t="inlineStr">
        <is>
          <t>Calculate exact toss accuracy per venue — which venues are system is wrong about</t>
        </is>
      </c>
    </row>
    <row r="54" ht="20" customHeight="1">
      <c r="A54" s="74" t="inlineStr">
        <is>
          <t xml:space="preserve">  2.</t>
        </is>
      </c>
      <c r="B54" s="83" t="inlineStr">
        <is>
          <t>Compare actual partnership sizes to the 32-ball Critical threshold</t>
        </is>
      </c>
    </row>
    <row r="55" ht="20" customHeight="1">
      <c r="A55" s="74" t="inlineStr">
        <is>
          <t xml:space="preserve">  3.</t>
        </is>
      </c>
      <c r="B55" s="83" t="inlineStr">
        <is>
          <t>Check if pace vs spin partnership breaker ratios match system assumptions</t>
        </is>
      </c>
    </row>
    <row r="56" ht="20" customHeight="1">
      <c r="A56" s="74" t="inlineStr">
        <is>
          <t xml:space="preserve">  4.</t>
        </is>
      </c>
      <c r="B56" s="83" t="inlineStr">
        <is>
          <t>Identify any systematic bias (e.g. system always wrong at Karachi)</t>
        </is>
      </c>
    </row>
    <row r="57" ht="20" customHeight="1">
      <c r="A57" s="74" t="inlineStr">
        <is>
          <t xml:space="preserve">  5.</t>
        </is>
      </c>
      <c r="B57" s="83" t="inlineStr">
        <is>
          <t>Generate a Claude Code prompt to recalibrate the specific thresholds that are wrong</t>
        </is>
      </c>
    </row>
  </sheetData>
  <mergeCells count="6">
    <mergeCell ref="A16:B16"/>
    <mergeCell ref="A7:B7"/>
    <mergeCell ref="A49:B49"/>
    <mergeCell ref="A42:B42"/>
    <mergeCell ref="A1:B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2026-03-18T23:27:00Z</dcterms:created>
  <dcterms:modified xsi:type="dcterms:W3CDTF">2026-03-19T01:48:52Z</dcterms:modified>
</cp:coreProperties>
</file>