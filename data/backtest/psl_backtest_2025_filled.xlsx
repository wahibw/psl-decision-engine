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uhammad Wahib\Desktop\PSL DASHBOARD\psl_decision_engine\data\backtest\"/>
    </mc:Choice>
  </mc:AlternateContent>
  <xr:revisionPtr revIDLastSave="0" documentId="13_ncr:1_{0F4407A0-942B-4358-ABED-DD5FD2199C3C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Back-Test Log" sheetId="1" r:id="rId1"/>
    <sheet name="Partnership Back-Test" sheetId="2" r:id="rId2"/>
    <sheet name="Toss Accuracy" sheetId="3" r:id="rId3"/>
    <sheet name="Instruction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" i="3" l="1"/>
  <c r="C12" i="3"/>
  <c r="C11" i="3"/>
  <c r="C10" i="3"/>
  <c r="T37" i="1"/>
  <c r="T36" i="1"/>
  <c r="T35" i="1"/>
  <c r="T34" i="1"/>
  <c r="T38" i="1" s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B11" i="3" s="1"/>
  <c r="T16" i="1"/>
  <c r="T15" i="1"/>
  <c r="B13" i="3" s="1"/>
  <c r="T14" i="1"/>
  <c r="T13" i="1"/>
  <c r="T12" i="1"/>
  <c r="T11" i="1"/>
  <c r="T10" i="1"/>
  <c r="T9" i="1"/>
  <c r="T8" i="1"/>
  <c r="T7" i="1"/>
  <c r="T6" i="1"/>
  <c r="B10" i="3" s="1"/>
  <c r="T5" i="1"/>
  <c r="T4" i="1"/>
  <c r="B12" i="3" s="1"/>
  <c r="D10" i="3" l="1"/>
  <c r="D11" i="3"/>
  <c r="D12" i="3"/>
  <c r="D13" i="3"/>
  <c r="B4" i="3"/>
  <c r="B5" i="3"/>
  <c r="B6" i="3"/>
  <c r="B7" i="3" l="1"/>
</calcChain>
</file>

<file path=xl/sharedStrings.xml><?xml version="1.0" encoding="utf-8"?>
<sst xmlns="http://schemas.openxmlformats.org/spreadsheetml/2006/main" count="1562" uniqueCount="505">
  <si>
    <t>PSL DECISION ENGINE — BACK-TEST LOG  |  PSL 2025 Season  |  Fill YELLOW cells with real match results</t>
  </si>
  <si>
    <t>MATCH INFO</t>
  </si>
  <si>
    <t>SYSTEM RECOMMENDATION  (pre-filled)</t>
  </si>
  <si>
    <t>ACTUAL RESULT  ← fill these in yellow</t>
  </si>
  <si>
    <t>KEY MOMENTS  ← fill these in yellow</t>
  </si>
  <si>
    <t>VERDICT</t>
  </si>
  <si>
    <t>#</t>
  </si>
  <si>
    <t>Date</t>
  </si>
  <si>
    <t>Team 1</t>
  </si>
  <si>
    <t>Team 2</t>
  </si>
  <si>
    <t>Venue</t>
  </si>
  <si>
    <t>Sys Toss
Rec</t>
  </si>
  <si>
    <t>Reason</t>
  </si>
  <si>
    <t>Top 3
Batters T1</t>
  </si>
  <si>
    <t>PP SR
T1</t>
  </si>
  <si>
    <t>Death SR
T1</t>
  </si>
  <si>
    <t>Actual Toss
Winner ✏</t>
  </si>
  <si>
    <t>Toss
Decision ✏</t>
  </si>
  <si>
    <t>Match
Winner ✏</t>
  </si>
  <si>
    <t>Margin ✏</t>
  </si>
  <si>
    <t>Runs/Wkts ✏</t>
  </si>
  <si>
    <t>Biggest
Partnership ✏</t>
  </si>
  <si>
    <t>Broken
By ✏</t>
  </si>
  <si>
    <t>Death Eco
(avg) ✏</t>
  </si>
  <si>
    <t>Notes / Key Moments ✏</t>
  </si>
  <si>
    <t>Toss
Correct?</t>
  </si>
  <si>
    <t>2025-04-11</t>
  </si>
  <si>
    <t>Lahore Qalandars</t>
  </si>
  <si>
    <t>Islamabad United</t>
  </si>
  <si>
    <t>Rawalpindi Cricket Stadium</t>
  </si>
  <si>
    <t>TOSS-UP</t>
  </si>
  <si>
    <t>Neutral (chase 42%)</t>
  </si>
  <si>
    <t>Fakhar Zaman, Muhammad Naeem, Abdullah Shafique</t>
  </si>
  <si>
    <t>145.5</t>
  </si>
  <si>
    <t>178.7</t>
  </si>
  <si>
    <t>field</t>
  </si>
  <si>
    <t>8 wickets</t>
  </si>
  <si>
    <t>143/2 (17.4 ov)</t>
  </si>
  <si>
    <t>Munro/Agha Salman 80* (56b)</t>
  </si>
  <si>
    <t>Not out (unbroken)</t>
  </si>
  <si>
    <t>~8.2</t>
  </si>
  <si>
    <t>IU won toss, bowled. Holder 4 wkts. Shafique 66(38). Munro 59* anchored chase.</t>
  </si>
  <si>
    <t>2025-04-12</t>
  </si>
  <si>
    <t>Quetta Gladiators</t>
  </si>
  <si>
    <t>Peshawar Zalmi</t>
  </si>
  <si>
    <t>Rilee Rossouw, Saud Shakeel, James Vince</t>
  </si>
  <si>
    <t>138.2</t>
  </si>
  <si>
    <t>171.4</t>
  </si>
  <si>
    <t>80 runs</t>
  </si>
  <si>
    <t>QG 216/3 (20 ov) / PZ 136 (15.1 ov)</t>
  </si>
  <si>
    <t>Shakeel/Allen 88 (43b)</t>
  </si>
  <si>
    <t>Sufiyan Muqeem (spin)</t>
  </si>
  <si>
    <t>~11.5</t>
  </si>
  <si>
    <t>QG won by 80 runs. PZ bowled out in 15.1 overs.</t>
  </si>
  <si>
    <t>Multan Sultans</t>
  </si>
  <si>
    <t>Karachi Kings</t>
  </si>
  <si>
    <t>National Stadium, Karachi</t>
  </si>
  <si>
    <t>BOWL FIRST</t>
  </si>
  <si>
    <t>Dew + chase 60%</t>
  </si>
  <si>
    <t>Mohammad Rizwan, Yasir Khan, Usman Khan</t>
  </si>
  <si>
    <t>155.3</t>
  </si>
  <si>
    <t>166.8</t>
  </si>
  <si>
    <t>4 wickets</t>
  </si>
  <si>
    <t>MS 234/3 (20 ov) / KK 236/6 (19.2 ov)</t>
  </si>
  <si>
    <t>Vince/Khushdil 142 (68b)</t>
  </si>
  <si>
    <t>Run out</t>
  </si>
  <si>
    <t>~9.5</t>
  </si>
  <si>
    <t>KK chased 235 in last over. Biggest chase at Karachi.</t>
  </si>
  <si>
    <t>2025-04-13</t>
  </si>
  <si>
    <t>79 runs</t>
  </si>
  <si>
    <t>LQ 219/6 (20 ov) / QG 140 (16.2 ov)</t>
  </si>
  <si>
    <t>Mitchell/Fakhar 80 (42b)</t>
  </si>
  <si>
    <t>Abrar Ahmed (spin)</t>
  </si>
  <si>
    <t>~9.2</t>
  </si>
  <si>
    <t>LQ won by 79 runs.</t>
  </si>
  <si>
    <t>2025-04-14</t>
  </si>
  <si>
    <t>Sahibzada Farhan, AGS Gous, C Munro</t>
  </si>
  <si>
    <t>144.6</t>
  </si>
  <si>
    <t>176.6</t>
  </si>
  <si>
    <t>bat</t>
  </si>
  <si>
    <t>102 runs</t>
  </si>
  <si>
    <t>IU 243/5 (20 ov) / PZ 141 (18.2 ov)</t>
  </si>
  <si>
    <t>Munro/Farhan 144 (72b)</t>
  </si>
  <si>
    <t>Alzarri Joseph (pace)</t>
  </si>
  <si>
    <t>IU won by 102 runs.</t>
  </si>
  <si>
    <t>2025-04-15</t>
  </si>
  <si>
    <t>65 runs</t>
  </si>
  <si>
    <t>LQ 201/6 (20 ov) / KK 136 (19.1 ov)</t>
  </si>
  <si>
    <t>Mitchell/Fakhar 125 (70b)</t>
  </si>
  <si>
    <t>Abbas Afridi (pace)</t>
  </si>
  <si>
    <t>~10.5</t>
  </si>
  <si>
    <t>LQ won by 65 runs.</t>
  </si>
  <si>
    <t>2025-04-16</t>
  </si>
  <si>
    <t>47 runs</t>
  </si>
  <si>
    <t>IU 202/6 (20 ov) / MS 155 (18.4 ov)</t>
  </si>
  <si>
    <t>Gous/Farhan 45 (29b)</t>
  </si>
  <si>
    <t>Naseem Shah (pace)</t>
  </si>
  <si>
    <t>IU won by 47 runs.</t>
  </si>
  <si>
    <t>2025-04-18</t>
  </si>
  <si>
    <t>TL Seifert, DA Warner, JM Vince</t>
  </si>
  <si>
    <t>146.2</t>
  </si>
  <si>
    <t>174.2</t>
  </si>
  <si>
    <t>56 runs</t>
  </si>
  <si>
    <t>KK 175/7 (20 ov) / QG 119/9 (20 ov)</t>
  </si>
  <si>
    <t>Warner/Seifert 60 (34b)</t>
  </si>
  <si>
    <t>Saud Shakeel (spin)</t>
  </si>
  <si>
    <t>~8.5</t>
  </si>
  <si>
    <t>KK won by 56 runs.</t>
  </si>
  <si>
    <t>2025-04-19</t>
  </si>
  <si>
    <t>Saim Ayub, Babar Azam, T Kohler-Cadmore</t>
  </si>
  <si>
    <t>120.1</t>
  </si>
  <si>
    <t>166.4</t>
  </si>
  <si>
    <t>120 runs</t>
  </si>
  <si>
    <t>PZ 227/7 (20 ov) / MS 107 (15.5 ov)</t>
  </si>
  <si>
    <t>Kohler-Cadmore/Haris 79 (33b)</t>
  </si>
  <si>
    <t>Ubaid Shah (pace)</t>
  </si>
  <si>
    <t>Largest PSL victory margin by runs. Ali Raza 17yr old 4/20. Abdul Samad 40(14) SR 285.</t>
  </si>
  <si>
    <t>2025-04-20</t>
  </si>
  <si>
    <t>6 wickets</t>
  </si>
  <si>
    <t>KK 128/7 (20 ov) / IU 129/4 (17.1 ov)</t>
  </si>
  <si>
    <t>Shadab/Azam 65 (52b)</t>
  </si>
  <si>
    <t>~7.5</t>
  </si>
  <si>
    <t>IU won by 6 wickets with 17 balls remaining.</t>
  </si>
  <si>
    <t>2025-04-21</t>
  </si>
  <si>
    <t>2 wickets</t>
  </si>
  <si>
    <t>PZ 147/8 (20 ov) / KK 148/8 (19.3 ov)</t>
  </si>
  <si>
    <t>Talat/Haris 37 (27b)</t>
  </si>
  <si>
    <t>Aamer Jamal (pace)</t>
  </si>
  <si>
    <t>~8.0</t>
  </si>
  <si>
    <t>Thriller — KK won with 3 balls to spare.</t>
  </si>
  <si>
    <t>2025-04-22</t>
  </si>
  <si>
    <t>Multan Cricket Stadium</t>
  </si>
  <si>
    <t>BAT FIRST</t>
  </si>
  <si>
    <t>Defend win 62%</t>
  </si>
  <si>
    <t>Yasir Khan, Mohammad Rizwan, Usman Khan</t>
  </si>
  <si>
    <t>134.2</t>
  </si>
  <si>
    <t>161.4</t>
  </si>
  <si>
    <t>33 runs</t>
  </si>
  <si>
    <t>MS 228/5 (20 ov) / LQ 195/9 (20 ov)</t>
  </si>
  <si>
    <t>Rizwan/Usman 89 (45b)</t>
  </si>
  <si>
    <t>MS won by 33 runs at home. Rizwan led chase.</t>
  </si>
  <si>
    <t>2025-04-23</t>
  </si>
  <si>
    <t>7 wickets</t>
  </si>
  <si>
    <t>MS 168/5 (20 ov) / IU 171/3 (17.1 ov)</t>
  </si>
  <si>
    <t>Munro/Gous 81 (48b)</t>
  </si>
  <si>
    <t>Bracewell (pace)</t>
  </si>
  <si>
    <t>IU won by 7 wickets with 17 balls remaining.</t>
  </si>
  <si>
    <t>2025-04-24</t>
  </si>
  <si>
    <t>Gaddafi Stadium, Lahore</t>
  </si>
  <si>
    <t>Neutral (chase 41%)</t>
  </si>
  <si>
    <t>LQ 129 (20 ov) / PZ 133/3 (16.4 ov)</t>
  </si>
  <si>
    <t>Babar/Talat 93* (70b)</t>
  </si>
  <si>
    <t>PZ won by 7 wickets with 20 balls remaining.</t>
  </si>
  <si>
    <t>2025-04-25</t>
  </si>
  <si>
    <t>5 runs</t>
  </si>
  <si>
    <t>QG 142 (20 ov) / KK 137/8 (20 ov)</t>
  </si>
  <si>
    <t>Vince/Seifert 73 (49b)</t>
  </si>
  <si>
    <t>Asif Afridi (pace)</t>
  </si>
  <si>
    <t>~9.0</t>
  </si>
  <si>
    <t>QG won by 5 runs in tight finish.</t>
  </si>
  <si>
    <t>2025-04-26</t>
  </si>
  <si>
    <t>5 wickets</t>
  </si>
  <si>
    <t>MS 185/3 (20 ov) / LQ 186/5 (19 ov)</t>
  </si>
  <si>
    <t>Rizwan/Kamran 115* (59b)</t>
  </si>
  <si>
    <t>~11.0</t>
  </si>
  <si>
    <t>LQ won by 5 wickets with 6 balls remaining.</t>
  </si>
  <si>
    <t>2025-04-27</t>
  </si>
  <si>
    <t>64 runs</t>
  </si>
  <si>
    <t>QG 178/7 (20 ov) / PZ 114 (15.2 ov)</t>
  </si>
  <si>
    <t>Shakeel/Allen 46 (27b)</t>
  </si>
  <si>
    <t>QG won by 64 runs. PZ bowled out in 15.2 overs.</t>
  </si>
  <si>
    <t>2025-04-29</t>
  </si>
  <si>
    <t>10 wickets</t>
  </si>
  <si>
    <t>MS 89 (20 ov) / QG 90/0 (6.5 ov)</t>
  </si>
  <si>
    <t>Shakeel/Allen 90* (41b)</t>
  </si>
  <si>
    <t>~5.0</t>
  </si>
  <si>
    <t>QG won by 10 wickets with 79 balls remaining. Dominant bowling display.</t>
  </si>
  <si>
    <t>2025-04-30</t>
  </si>
  <si>
    <t>88 runs</t>
  </si>
  <si>
    <t>LQ 209/6 (20 ov) / IU 121 (16.5 ov)</t>
  </si>
  <si>
    <t>Gous/Salman 69 (43b)</t>
  </si>
  <si>
    <t>Haris Rauf (pace)</t>
  </si>
  <si>
    <t>LQ won by 88 runs.</t>
  </si>
  <si>
    <t>2025-05-01</t>
  </si>
  <si>
    <t>87 runs</t>
  </si>
  <si>
    <t>KK 204/4 (20 ov) / MS 117 (16.1 ov)</t>
  </si>
  <si>
    <t>Nabi/Khushdil 70* (24b)</t>
  </si>
  <si>
    <t>KK won by 87 runs.</t>
  </si>
  <si>
    <t>No Result</t>
  </si>
  <si>
    <t>-</t>
  </si>
  <si>
    <t>NR — LQ 111/3 (11.3 ov)</t>
  </si>
  <si>
    <t>Naeem/Shafique 102 (57b)</t>
  </si>
  <si>
    <t>N/A</t>
  </si>
  <si>
    <t>Rain — no result after 11.3 overs. 1 pt each.</t>
  </si>
  <si>
    <t>2025-05-02</t>
  </si>
  <si>
    <t>IU 143/9 (20 ov) / PZ 147/4 (16.4 ov)</t>
  </si>
  <si>
    <t>Babar/Maaz 102 (62b)</t>
  </si>
  <si>
    <t>PZ won by 6 wickets with 20 balls remaining.</t>
  </si>
  <si>
    <t>2025-05-03</t>
  </si>
  <si>
    <t>IU 157/9 (20 ov) / QG 159/8 (19.5 ov)</t>
  </si>
  <si>
    <t>Mayers/Farhan 58 (34b)</t>
  </si>
  <si>
    <t>~10.0</t>
  </si>
  <si>
    <t>QG won by 2 wickets off last ball. Quetta qualified for playoffs.</t>
  </si>
  <si>
    <t>2025-05-04</t>
  </si>
  <si>
    <t>4 wickets (DLS)</t>
  </si>
  <si>
    <t>LQ 160/8 (15 ov) / KK 168/6 (14.3 ov)</t>
  </si>
  <si>
    <t>Fakhar/Naeem 90 (47b)</t>
  </si>
  <si>
    <t>Rain — reduced to 15 overs. KK won by 4 wkts DLS with 3 balls remaining.</t>
  </si>
  <si>
    <t>2025-05-05</t>
  </si>
  <si>
    <t>MS 108 (20 ov) / PZ 110/3 (13 ov)</t>
  </si>
  <si>
    <t>Babar/Saim 49 (35b)</t>
  </si>
  <si>
    <t>Shahid Aziz (pace)</t>
  </si>
  <si>
    <t>PZ won by 7 wickets with 42 balls remaining.</t>
  </si>
  <si>
    <t>2025-05-07</t>
  </si>
  <si>
    <t>109 runs</t>
  </si>
  <si>
    <t>QG 263/3 (20 ov) / IU 154 (19.3 ov)</t>
  </si>
  <si>
    <t>Chandimal/Faheem 95 (48b)</t>
  </si>
  <si>
    <t>Salman Irshad (pace)</t>
  </si>
  <si>
    <t>~13.5</t>
  </si>
  <si>
    <t>QG won by 109 runs. Rossouw + Nawaz centuries. Massive total.</t>
  </si>
  <si>
    <t>2025-05-17</t>
  </si>
  <si>
    <t>23 runs</t>
  </si>
  <si>
    <t>KK 237/4 (20 ov) / PZ 214/5 (20 ov)</t>
  </si>
  <si>
    <t>Warner/Vince 162 (89b)</t>
  </si>
  <si>
    <t>Arif Yaqoob (pace)</t>
  </si>
  <si>
    <t>~12.0</t>
  </si>
  <si>
    <t>Postponed/resumed after India-Pakistan tensions. KK won by 23 runs.</t>
  </si>
  <si>
    <t>2025-05-18</t>
  </si>
  <si>
    <t>MS 185/7 (20 ov) / QG 190/8 (20 ov)</t>
  </si>
  <si>
    <t>Shakeel/Nafay 77 (47b)</t>
  </si>
  <si>
    <t>QG won off last ball with 2 wickets remaining.</t>
  </si>
  <si>
    <t>26 runs</t>
  </si>
  <si>
    <t>LQ 149/8 (13 ov) / PZ 123/8 (13 ov)</t>
  </si>
  <si>
    <t>Fakhar/Naeem 54 (22b)</t>
  </si>
  <si>
    <t>Daniel Sams (pace)</t>
  </si>
  <si>
    <t>Rain — reduced to 13 overs. LQ qualified for playoffs. Babar century.</t>
  </si>
  <si>
    <t>2025-05-19</t>
  </si>
  <si>
    <t>IU 251/5 (20 ov) / KK 172 (18.2 ov)</t>
  </si>
  <si>
    <t>Hales/Farhan 153 (69b)</t>
  </si>
  <si>
    <t>Mir Hamza (pace)</t>
  </si>
  <si>
    <t>~12.5</t>
  </si>
  <si>
    <t>IU won by 79 runs.</t>
  </si>
  <si>
    <t>2025-05-21</t>
  </si>
  <si>
    <t>30 runs</t>
  </si>
  <si>
    <t>QG 209/6 (20 ov) / IU 179 (19.4 ov)</t>
  </si>
  <si>
    <t>Qualifier 1 — QG through to final directly.</t>
  </si>
  <si>
    <t>2025-05-22</t>
  </si>
  <si>
    <t>KK 190/8 (20 ov) / LQ 191/4 (18.4 ov)</t>
  </si>
  <si>
    <t>Eliminator — LQ won by 6 wickets with 8 balls remaining.</t>
  </si>
  <si>
    <t>2025-05-23</t>
  </si>
  <si>
    <t>95 runs</t>
  </si>
  <si>
    <t>LQ 202/8 (20 ov) / IU 107 (15.1 ov)</t>
  </si>
  <si>
    <t>Naeem/Shafique 70 (42b)</t>
  </si>
  <si>
    <t>Usman Tariq (pace)</t>
  </si>
  <si>
    <t>Qualifier 2 — LQ beat IU to reach final.</t>
  </si>
  <si>
    <t>2025-05-25</t>
  </si>
  <si>
    <t>QG 201/9 (20 ov) / LQ 204/4 (19.5 ov)</t>
  </si>
  <si>
    <t>Perera/Raza 59* (19b)</t>
  </si>
  <si>
    <t>FINAL — LQ won by 6 wickets off last ball. Record chase at Gaddafi.</t>
  </si>
  <si>
    <t>SUMMARY</t>
  </si>
  <si>
    <t>KEY:</t>
  </si>
  <si>
    <t>GREEN = auto-filled from public sources</t>
  </si>
  <si>
    <t>YELLOW = needs manual entry from scorecard</t>
  </si>
  <si>
    <t>PARTNERSHIP BACK-TEST  |  Record the 2-3 biggest partnerships per match and how they ended</t>
  </si>
  <si>
    <t>SYSTEM THRESHOLD (PSL: Critical = 32 balls)</t>
  </si>
  <si>
    <t>ACTUAL  ← fill yellow</t>
  </si>
  <si>
    <t>Match #</t>
  </si>
  <si>
    <t>Batting Team</t>
  </si>
  <si>
    <t>Batter 1
(pre-filled where known)</t>
  </si>
  <si>
    <t>Batter 2
(pre-filled where known)</t>
  </si>
  <si>
    <t>System
Danger Tier</t>
  </si>
  <si>
    <t>Balls at
Alert</t>
  </si>
  <si>
    <t>System
Breaker Rec</t>
  </si>
  <si>
    <t>Historical
Break Type</t>
  </si>
  <si>
    <t>Actual Balls
Together ✏</t>
  </si>
  <si>
    <t>Actual
Breaker ✏</t>
  </si>
  <si>
    <t>Partnership
Runs ✏</t>
  </si>
  <si>
    <t>Abdullah Shafique</t>
  </si>
  <si>
    <t>Sikandar Raza</t>
  </si>
  <si>
    <t>CRITICAL if 32+ balls</t>
  </si>
  <si>
    <t>32</t>
  </si>
  <si>
    <t>Pace (68% avg)</t>
  </si>
  <si>
    <t>LQ bat</t>
  </si>
  <si>
    <t>Colin Munro</t>
  </si>
  <si>
    <t>Salman Ali Agha</t>
  </si>
  <si>
    <t>IU chase — 94 runs unbroken</t>
  </si>
  <si>
    <t>Rilee Rossouw</t>
  </si>
  <si>
    <t>Saud Shakeel</t>
  </si>
  <si>
    <t>IU 1st wkt</t>
  </si>
  <si>
    <t>TBC — check card</t>
  </si>
  <si>
    <t>QG bat</t>
  </si>
  <si>
    <t>TBC</t>
  </si>
  <si>
    <t>PZ chase</t>
  </si>
  <si>
    <t>James Vince</t>
  </si>
  <si>
    <t>Khushdil Shah</t>
  </si>
  <si>
    <t>QG bat #2</t>
  </si>
  <si>
    <t>David Warner</t>
  </si>
  <si>
    <t>MS/KK bat</t>
  </si>
  <si>
    <t>KK chase</t>
  </si>
  <si>
    <t>Daryl Mitchell</t>
  </si>
  <si>
    <t>Fakhar Zaman</t>
  </si>
  <si>
    <t>Pace / Spin change</t>
  </si>
  <si>
    <t>QG chase</t>
  </si>
  <si>
    <t>Andries Gous</t>
  </si>
  <si>
    <t>Sahibzada Farhan</t>
  </si>
  <si>
    <t>IU bat</t>
  </si>
  <si>
    <t>Mohammad Naeem</t>
  </si>
  <si>
    <t>Muhammad Naeem</t>
  </si>
  <si>
    <t>LQ bat PP</t>
  </si>
  <si>
    <t>2025-04-17</t>
  </si>
  <si>
    <t>MS chase</t>
  </si>
  <si>
    <t>Tim Seifert</t>
  </si>
  <si>
    <t>KK bat</t>
  </si>
  <si>
    <t>Saim Ayub</t>
  </si>
  <si>
    <t>Babar Azam</t>
  </si>
  <si>
    <t>T Kohler-Cadmore</t>
  </si>
  <si>
    <t>Mohammad Haris</t>
  </si>
  <si>
    <t>PZ bat</t>
  </si>
  <si>
    <t>Shadab Khan</t>
  </si>
  <si>
    <t>Azam Khan</t>
  </si>
  <si>
    <t>IU chase</t>
  </si>
  <si>
    <t>Hussain Talat</t>
  </si>
  <si>
    <t>Mohammad Rizwan</t>
  </si>
  <si>
    <t>Yasir Khan</t>
  </si>
  <si>
    <t>Mohammad Nawaz (pace)</t>
  </si>
  <si>
    <t>Usman Khan</t>
  </si>
  <si>
    <t>MS bat — Yasir 87</t>
  </si>
  <si>
    <t>Sam Billings</t>
  </si>
  <si>
    <t>MS bat</t>
  </si>
  <si>
    <t>LQ chase</t>
  </si>
  <si>
    <t>Yasir c sub b Nawaz (pace)</t>
  </si>
  <si>
    <t>Munro c Iftikhar b Bracewell (pace)</t>
  </si>
  <si>
    <t>Mohammad Nawaz</t>
  </si>
  <si>
    <t>Gous not out (unbroken)</t>
  </si>
  <si>
    <t>Shaheen Shah Afridi</t>
  </si>
  <si>
    <t>PZ chase — 93 unbroken</t>
  </si>
  <si>
    <t>Shaheen c Haris b Hussain Talat (pace)</t>
  </si>
  <si>
    <t>Faheem Ashraf</t>
  </si>
  <si>
    <t>Hasan Nawaz</t>
  </si>
  <si>
    <t>Kamran Ghulam</t>
  </si>
  <si>
    <t>Mitchell b Akif Javed (pace)</t>
  </si>
  <si>
    <t>LQ chase — Raza 40*</t>
  </si>
  <si>
    <t>Finn Allen</t>
  </si>
  <si>
    <t>Saim Ayub (pace)</t>
  </si>
  <si>
    <t>Mitchell Owen</t>
  </si>
  <si>
    <t>Khurram Shahzad (pace)</t>
  </si>
  <si>
    <t>2025-04-28</t>
  </si>
  <si>
    <t>Iftikhar Ahmed</t>
  </si>
  <si>
    <t>Iftikhar c Rossouw b Faheem (pace)</t>
  </si>
  <si>
    <t>MS chase — Rizwan carried bat</t>
  </si>
  <si>
    <t>Naeem run out (Dwarshuis)</t>
  </si>
  <si>
    <t>Raza c sub b Holder (pace)</t>
  </si>
  <si>
    <t>LQ bat death</t>
  </si>
  <si>
    <t>Gous b Haris Rauf (pace)</t>
  </si>
  <si>
    <t>Irfan Khan</t>
  </si>
  <si>
    <t>IU chase — 69 runs</t>
  </si>
  <si>
    <t>Irfan c Jordan b Campher (pace)</t>
  </si>
  <si>
    <t>Mohammad Nabi</t>
  </si>
  <si>
    <t>Chris Jordan</t>
  </si>
  <si>
    <t>Ubaid Shah</t>
  </si>
  <si>
    <t>Ubaid Shah c Rajapaksa b Mohammad Amir (pace)</t>
  </si>
  <si>
    <t>N/A — rain, no result</t>
  </si>
  <si>
    <t>Rain — no partnerships</t>
  </si>
  <si>
    <t>Kyle Mayers</t>
  </si>
  <si>
    <t>Farhan c Babar b Ahmed Daniyal (pace)</t>
  </si>
  <si>
    <t>Maaz Sadaqat</t>
  </si>
  <si>
    <t>Maaz c Azam Khan b Naseem Shah (pace)</t>
  </si>
  <si>
    <t>Farhan b Saud Shakeel (spin)</t>
  </si>
  <si>
    <t>Rossouw run out (Salman Irshad/Nawaz)</t>
  </si>
  <si>
    <t>Mohammad Wasim</t>
  </si>
  <si>
    <t>Nawaz not out... Wasim c Gous b Jamieson (pace)</t>
  </si>
  <si>
    <t>Naeem c Irfan b Aamer Jamal (pace)</t>
  </si>
  <si>
    <t>PZ chase — rain 15 overs</t>
  </si>
  <si>
    <t>Shafique lbw b Abbas Afridi (pace)</t>
  </si>
  <si>
    <t>Saim c Amir Barki b Shahid Aziz (pace)</t>
  </si>
  <si>
    <t>Max Bryant</t>
  </si>
  <si>
    <t>Shai Hope</t>
  </si>
  <si>
    <t>Tayyab Tahir</t>
  </si>
  <si>
    <t>Hope c&amp;b Alzarri Joseph (pace)</t>
  </si>
  <si>
    <t>Dinesh Chandimal</t>
  </si>
  <si>
    <t>QG bat — 95 run stand</t>
  </si>
  <si>
    <t>Imad Wasim</t>
  </si>
  <si>
    <t>BJ Dwarshuis</t>
  </si>
  <si>
    <t>Imad c Faheem b Mohammad Amir (pace)</t>
  </si>
  <si>
    <t>IU chase #2</t>
  </si>
  <si>
    <t>Nawaz c Haseebullah b Jamieson (pace)</t>
  </si>
  <si>
    <t>KK bat — 162 run stand</t>
  </si>
  <si>
    <t>Babar run out (Jamal/Seifert)</t>
  </si>
  <si>
    <t>KK bat death</t>
  </si>
  <si>
    <t>Khawaja Nafay</t>
  </si>
  <si>
    <t>Jahanzaib Sultan</t>
  </si>
  <si>
    <t>Jahanzaib c Faheem b Usman Tariq (pace)</t>
  </si>
  <si>
    <t>Faheem c Jahanzaib b Shahid Aziz (pace)</t>
  </si>
  <si>
    <t>LQ bat — PP stand</t>
  </si>
  <si>
    <t>Naeem c Abdul Samad b Daniel Sams (pace)</t>
  </si>
  <si>
    <t>Daniel Sams</t>
  </si>
  <si>
    <t>Mohammad Ali</t>
  </si>
  <si>
    <t>Ahmed Daniyal</t>
  </si>
  <si>
    <t>Daniyal b Salman Mirza (pace)</t>
  </si>
  <si>
    <t>Alex Hales</t>
  </si>
  <si>
    <t>IU bat — 153 run stand</t>
  </si>
  <si>
    <t>Farhan c Abbas b Mir Hamza (pace)</t>
  </si>
  <si>
    <t>Haider Ali</t>
  </si>
  <si>
    <t>Shadab run out (Seifert)</t>
  </si>
  <si>
    <t>Seifert b Salman Irshad (pace)</t>
  </si>
  <si>
    <t>QG bat — Qualifier 1</t>
  </si>
  <si>
    <t>Faheem c Shadab b Salman Irshad (pace)</t>
  </si>
  <si>
    <t>LQ chase — Eliminator</t>
  </si>
  <si>
    <t>Nabi c Asif b Mitchell (pace)</t>
  </si>
  <si>
    <t>Shafique lbw b Rishad Hossain (spin)</t>
  </si>
  <si>
    <t>LQ bat — Qualifier 2</t>
  </si>
  <si>
    <t>Shafique c Khurram b Usman Tariq (pace)</t>
  </si>
  <si>
    <t>Fakhar st Azam b Imad Wasim (spin)</t>
  </si>
  <si>
    <t>QG bat — FINAL</t>
  </si>
  <si>
    <t>Kusal Perera</t>
  </si>
  <si>
    <t>LQ chase — unbroken</t>
  </si>
  <si>
    <t>Naeem c Hasan b Abrar Ahmed (spin)</t>
  </si>
  <si>
    <t>KEY:   GREEN = pre-filled from match reports   |   YELLOW = confirm or fill from scorecard   |   TBC = check Cricinfo partnerships tab</t>
  </si>
  <si>
    <t>TOSS ACCURACY SUMMARY  |  Auto-populated from Back-Test Log</t>
  </si>
  <si>
    <t>METRIC</t>
  </si>
  <si>
    <t>FORMULA</t>
  </si>
  <si>
    <t>Total matches entered</t>
  </si>
  <si>
    <t>Toss calls correct</t>
  </si>
  <si>
    <t>Toss calls wrong</t>
  </si>
  <si>
    <t>Accuracy %</t>
  </si>
  <si>
    <t>BY VENUE</t>
  </si>
  <si>
    <t>Total</t>
  </si>
  <si>
    <t>Sys: BOWL FIRST</t>
  </si>
  <si>
    <t>Sys: TOSS-UP</t>
  </si>
  <si>
    <t>Sys: BAT FIRST</t>
  </si>
  <si>
    <t>PSL DECISION ENGINE  —  BACK-TEST INSTRUCTIONS</t>
  </si>
  <si>
    <t>PURPOSE</t>
  </si>
  <si>
    <t>Validate whether the system's toss recommendations, partnership danger thresholds,</t>
  </si>
  <si>
    <t>and key match intelligence align with what actually happened in PSL 2025.</t>
  </si>
  <si>
    <t>CURRENT STATUS  —  what is already filled in</t>
  </si>
  <si>
    <t>K  — Toss winner</t>
  </si>
  <si>
    <t>34/34 filled automatically from Wikipedia + news sources</t>
  </si>
  <si>
    <t>L  — Toss decision</t>
  </si>
  <si>
    <t>M  — Match winner</t>
  </si>
  <si>
    <t>34/34 filled automatically from Wikipedia</t>
  </si>
  <si>
    <t>N  — Margin</t>
  </si>
  <si>
    <t>33/34 filled  (match 21 = No Result, margin = 0)</t>
  </si>
  <si>
    <t>O  — Runs or wickets</t>
  </si>
  <si>
    <t>33/34 filled  (match 21 = NR)</t>
  </si>
  <si>
    <t>S  — Notes</t>
  </si>
  <si>
    <t>16/34 filled  (key matches: rain, records, milestones)</t>
  </si>
  <si>
    <t>T  — Verdict</t>
  </si>
  <si>
    <t>FORMULA — calculates automatically from K and L. No input needed.</t>
  </si>
  <si>
    <t>WHAT YOU STILL NEED TO FILL  —  3 yellow columns, all 34 matches</t>
  </si>
  <si>
    <t>Col P  — Biggest partnership</t>
  </si>
  <si>
    <t>The highest partnership runs in the match (both innings combined).</t>
  </si>
  <si>
    <t>Go to Cricinfo scorecard → click 'Partnerships' tab → take the largest number shown.</t>
  </si>
  <si>
    <t>~30 seconds per match.</t>
  </si>
  <si>
    <t>Col Q  — How was it broken</t>
  </si>
  <si>
    <t>Type exactly one of:  pace   spin   change   run out</t>
  </si>
  <si>
    <t>Same Partnerships tab. Look at the dismissal — caught off pace = 'pace', spinner/stumped = 'spin', tactical change bowler = 'change', run out = 'run out'.</t>
  </si>
  <si>
    <t>~20 seconds per match.</t>
  </si>
  <si>
    <t>Col R  — Death over economy</t>
  </si>
  <si>
    <t>Average runs per over across overs 17–20 of whichever innings had more death bowling.</t>
  </si>
  <si>
    <t>Go to 'Ball by Ball' tab on Cricinfo. Add runs in overs 17, 18, 19, 20 and divide by 4. Or check bowler figures for death bowlers and average their economies.</t>
  </si>
  <si>
    <t>~60 seconds per match.  This column is optional for first-pass analysis.</t>
  </si>
  <si>
    <t>Col S  — Notes  (partially filled)</t>
  </si>
  <si>
    <t>Add anything unusual: dew visible, pitch two-paced, shortened game, key injury, rain interruption.</t>
  </si>
  <si>
    <t>Only fill matches where something notable happened. 18 matches already have notes.</t>
  </si>
  <si>
    <t>Optional — only fill if you remember or notice something from the match.</t>
  </si>
  <si>
    <t>HOW TO ACCESS SCORECARDS ON CRICINFO</t>
  </si>
  <si>
    <t>Step 1</t>
  </si>
  <si>
    <t>Go to:  espncricinfo.com/series/pakistan-super-league-2025-1434269/match-schedule-fixtures-and-results</t>
  </si>
  <si>
    <t>Step 2</t>
  </si>
  <si>
    <t>Click any match result to open the scorecard.</t>
  </si>
  <si>
    <t>Step 3</t>
  </si>
  <si>
    <t>For Column P and Q:  click the 'Partnerships' tab at the top of the scorecard.</t>
  </si>
  <si>
    <t>Step 4</t>
  </si>
  <si>
    <t>For Column R:  click 'Ball by Ball' or 'Over by Over' — find overs 17-20 and add up the runs.</t>
  </si>
  <si>
    <t>Tip</t>
  </si>
  <si>
    <t>The scorecard URL pattern is always the same — just change the match number/name at the end for each match.</t>
  </si>
  <si>
    <t>Fastest method</t>
  </si>
  <si>
    <t>Open all 34 scorecards as tabs, then go through them one by one filling P, Q, R before closing.</t>
  </si>
  <si>
    <t>TIME ESTIMATE</t>
  </si>
  <si>
    <t>Columns K–O, S</t>
  </si>
  <si>
    <t>Already done. Nothing to enter.</t>
  </si>
  <si>
    <t>Column P only</t>
  </si>
  <si>
    <t>~17 minutes  (30 sec × 34 matches)</t>
  </si>
  <si>
    <t>Columns P + Q</t>
  </si>
  <si>
    <t>~27 minutes  (50 sec × 34 matches) — recommended minimum</t>
  </si>
  <si>
    <t>Columns P + Q + R</t>
  </si>
  <si>
    <t>~50 minutes  (90 sec × 34 matches) — full back-test</t>
  </si>
  <si>
    <t>Priority order</t>
  </si>
  <si>
    <t>Do P and Q first. Sheet 3 toss accuracy auto-updates immediately. Partnership threshold check uses P and Q. Death economy (R) is useful but not required for the first calibration run.</t>
  </si>
  <si>
    <t>AFTER FILLING  —  what happens next</t>
  </si>
  <si>
    <t>Sheet 3 auto-updates</t>
  </si>
  <si>
    <t>Toss Accuracy sheet calculates instantly — overall accuracy % and per-venue breakdown are live the moment you save.</t>
  </si>
  <si>
    <t>Share the file</t>
  </si>
  <si>
    <t>Send the completed file back to Claude.</t>
  </si>
  <si>
    <t>Claude will then:</t>
  </si>
  <si>
    <t xml:space="preserve">  1.</t>
  </si>
  <si>
    <t>Calculate exact toss accuracy per venue — which venues are system is wrong about</t>
  </si>
  <si>
    <t xml:space="preserve">  2.</t>
  </si>
  <si>
    <t>Compare actual partnership sizes to the 32-ball Critical threshold</t>
  </si>
  <si>
    <t xml:space="preserve">  3.</t>
  </si>
  <si>
    <t>Check if pace vs spin partnership breaker ratios match system assumptions</t>
  </si>
  <si>
    <t xml:space="preserve">  4.</t>
  </si>
  <si>
    <t>Identify any systematic bias (e.g. system always wrong at Karachi)</t>
  </si>
  <si>
    <t xml:space="preserve">  5.</t>
  </si>
  <si>
    <t>Generate a Claude Code prompt to recalibrate the specific thresholds that are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</si>
</sst>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0B1F3A"/>
      <name val="Arial"/>
      <charset val="1"/>
    </font>
    <font>
      <b/>
      <sz val="9"/>
      <color rgb="FF0B1F3A"/>
      <name val="Arial"/>
      <charset val="1"/>
    </font>
    <font>
      <sz val="8"/>
      <color rgb="FF5D6D7E"/>
      <name val="Arial"/>
      <charset val="1"/>
    </font>
    <font>
      <sz val="9"/>
      <color rgb="FF5D6D7E"/>
      <name val="Arial"/>
      <charset val="1"/>
    </font>
    <font>
      <b/>
      <sz val="9"/>
      <color rgb="FF1A5C2A"/>
      <name val="Arial"/>
      <charset val="1"/>
    </font>
    <font>
      <i/>
      <sz val="9"/>
      <color rgb="FF5D4037"/>
      <name val="Arial"/>
      <charset val="1"/>
    </font>
    <font>
      <sz val="9"/>
      <color rgb="FF1A3A2A"/>
      <name val="Arial"/>
      <charset val="1"/>
    </font>
    <font>
      <b/>
      <sz val="9"/>
      <name val="Arial"/>
      <charset val="1"/>
    </font>
    <font>
      <b/>
      <sz val="10"/>
      <color rgb="FFFFFFFF"/>
      <name val="Arial"/>
      <charset val="1"/>
    </font>
    <font>
      <sz val="9"/>
      <color rgb="FF5D4037"/>
      <name val="Arial"/>
      <charset val="1"/>
    </font>
    <font>
      <b/>
      <sz val="12"/>
      <color rgb="FFFFFFFF"/>
      <name val="Arial"/>
      <charset val="1"/>
    </font>
    <font>
      <sz val="9"/>
      <name val="Arial"/>
      <charset val="1"/>
    </font>
    <font>
      <i/>
      <sz val="8"/>
      <color rgb="FF999999"/>
      <name val="Arial"/>
      <charset val="1"/>
    </font>
    <font>
      <i/>
      <sz val="9"/>
      <color rgb="FF0B1F3A"/>
      <name val="Arial"/>
      <charset val="1"/>
    </font>
    <font>
      <sz val="10"/>
      <color rgb="FF0B1F3A"/>
      <name val="Arial"/>
      <charset val="1"/>
    </font>
    <font>
      <b/>
      <sz val="11"/>
      <color rgb="FF0B1F3A"/>
      <name val="Arial"/>
      <charset val="1"/>
    </font>
    <font>
      <sz val="10"/>
      <name val="Arial"/>
      <charset val="1"/>
    </font>
    <font>
      <b/>
      <sz val="10"/>
      <color rgb="FF0B1F3A"/>
      <name val="Arial"/>
      <charset val="1"/>
    </font>
    <font>
      <b/>
      <sz val="14"/>
      <color rgb="FFFFFFFF"/>
      <name val="Arial"/>
      <charset val="1"/>
    </font>
    <font>
      <sz val="11"/>
      <name val="Cambria"/>
      <charset val="1"/>
    </font>
    <font>
      <b/>
      <sz val="11"/>
      <color rgb="FFFFFFFF"/>
      <name val="Arial"/>
      <charset val="1"/>
    </font>
    <font>
      <sz val="11"/>
      <color rgb="FF0B1F3A"/>
      <name val="Arial"/>
      <charset val="1"/>
    </font>
    <font>
      <sz val="10"/>
      <color rgb="FF5D6D7E"/>
      <name val="Arial"/>
      <charset val="1"/>
    </font>
    <font>
      <i/>
      <sz val="10"/>
      <color rgb="FF5D6D7E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0B1F3A"/>
        <bgColor rgb="FF1A3A2A"/>
      </patternFill>
    </fill>
    <fill>
      <patternFill patternType="solid">
        <fgColor rgb="FF5D6D7E"/>
        <bgColor rgb="FF808080"/>
      </patternFill>
    </fill>
    <fill>
      <patternFill patternType="solid">
        <fgColor rgb="FF00B4A6"/>
        <bgColor rgb="FF27AE60"/>
      </patternFill>
    </fill>
    <fill>
      <patternFill patternType="solid">
        <fgColor rgb="FFF5A623"/>
        <bgColor rgb="FFFFCC00"/>
      </patternFill>
    </fill>
    <fill>
      <patternFill patternType="solid">
        <fgColor rgb="FFC0392B"/>
        <bgColor rgb="FF993366"/>
      </patternFill>
    </fill>
    <fill>
      <patternFill patternType="solid">
        <fgColor rgb="FF005F5A"/>
        <bgColor rgb="FF1A5C2A"/>
      </patternFill>
    </fill>
    <fill>
      <patternFill patternType="solid">
        <fgColor rgb="FF8B6914"/>
        <bgColor rgb="FF808080"/>
      </patternFill>
    </fill>
    <fill>
      <patternFill patternType="solid">
        <fgColor rgb="FF8B1A1A"/>
        <bgColor rgb="FF800000"/>
      </patternFill>
    </fill>
    <fill>
      <patternFill patternType="solid">
        <fgColor rgb="FFF4F6F8"/>
        <bgColor rgb="FFF8F9FA"/>
      </patternFill>
    </fill>
    <fill>
      <patternFill patternType="solid">
        <fgColor rgb="FFE0F4F3"/>
        <bgColor rgb="FFD5F5E3"/>
      </patternFill>
    </fill>
    <fill>
      <patternFill patternType="solid">
        <fgColor rgb="FFD5F5E3"/>
        <bgColor rgb="FFE0F4F3"/>
      </patternFill>
    </fill>
    <fill>
      <patternFill patternType="solid">
        <fgColor rgb="FFFFFDE7"/>
        <bgColor rgb="FFF8F9FA"/>
      </patternFill>
    </fill>
    <fill>
      <patternFill patternType="solid">
        <fgColor rgb="FFEAECEE"/>
        <bgColor rgb="FFE8E8E8"/>
      </patternFill>
    </fill>
    <fill>
      <patternFill patternType="solid">
        <fgColor rgb="FFF8F9FA"/>
        <bgColor rgb="FFF4F6F8"/>
      </patternFill>
    </fill>
    <fill>
      <patternFill patternType="solid">
        <fgColor rgb="FFE8E8E8"/>
        <bgColor rgb="FFEAECEE"/>
      </patternFill>
    </fill>
    <fill>
      <patternFill patternType="solid">
        <fgColor rgb="FF27AE60"/>
        <bgColor rgb="FF00B4A6"/>
      </patternFill>
    </fill>
  </fills>
  <borders count="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3" fillId="2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23" fillId="4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0" fillId="0" borderId="0" xfId="0" applyFont="1"/>
    <xf numFmtId="0" fontId="7" fillId="12" borderId="0" xfId="0" applyFont="1" applyFill="1" applyAlignment="1">
      <alignment horizontal="left"/>
    </xf>
    <xf numFmtId="0" fontId="12" fillId="13" borderId="0" xfId="0" applyFont="1" applyFill="1" applyAlignment="1">
      <alignment horizontal="left"/>
    </xf>
    <xf numFmtId="0" fontId="14" fillId="15" borderId="1" xfId="0" applyFont="1" applyFill="1" applyBorder="1" applyAlignment="1">
      <alignment horizontal="center" vertical="center"/>
    </xf>
    <xf numFmtId="0" fontId="14" fillId="15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6" fillId="0" borderId="0" xfId="0" applyFont="1"/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164" fontId="18" fillId="0" borderId="1" xfId="0" applyNumberFormat="1" applyFont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10" borderId="1" xfId="0" applyFon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9" fillId="14" borderId="1" xfId="0" applyFont="1" applyFill="1" applyBorder="1" applyAlignment="1">
      <alignment horizontal="left" vertical="center"/>
    </xf>
    <xf numFmtId="0" fontId="20" fillId="14" borderId="1" xfId="0" applyFont="1" applyFill="1" applyBorder="1" applyAlignment="1">
      <alignment horizontal="center" vertical="center"/>
    </xf>
    <xf numFmtId="9" fontId="0" fillId="14" borderId="1" xfId="0" applyNumberForma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2" fillId="0" borderId="0" xfId="0" applyFont="1"/>
    <xf numFmtId="0" fontId="23" fillId="3" borderId="0" xfId="0" applyFont="1" applyFill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11" fillId="17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20" fillId="13" borderId="1" xfId="0" applyFont="1" applyFill="1" applyBorder="1" applyAlignment="1">
      <alignment horizontal="left" vertical="center"/>
    </xf>
    <xf numFmtId="0" fontId="25" fillId="13" borderId="1" xfId="0" applyFont="1" applyFill="1" applyBorder="1" applyAlignment="1">
      <alignment horizontal="left" vertical="center" wrapText="1"/>
    </xf>
    <xf numFmtId="0" fontId="26" fillId="13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20" fillId="10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0" fontId="14" fillId="15" borderId="3" xfId="0" applyFont="1" applyFill="1" applyBorder="1" applyAlignment="1">
      <alignment horizontal="center" vertical="center"/>
    </xf>
    <xf numFmtId="0" fontId="14" fillId="15" borderId="3" xfId="0" applyFont="1" applyFill="1" applyBorder="1" applyAlignment="1">
      <alignment horizontal="left" vertical="center"/>
    </xf>
    <xf numFmtId="0" fontId="8" fillId="13" borderId="3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0" fontId="0" fillId="0" borderId="2" xfId="0" applyBorder="1"/>
    <xf numFmtId="0" fontId="2" fillId="3" borderId="2" xfId="0" applyFont="1" applyFill="1" applyBorder="1"/>
    <xf numFmtId="0" fontId="8" fillId="13" borderId="2" xfId="0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2A"/>
      <rgbColor rgb="FF000080"/>
      <rgbColor rgb="FF8B6914"/>
      <rgbColor rgb="FF800080"/>
      <rgbColor rgb="FF005F5A"/>
      <rgbColor rgb="FFBDC3C7"/>
      <rgbColor rgb="FF808080"/>
      <rgbColor rgb="FF9999FF"/>
      <rgbColor rgb="FFC0392B"/>
      <rgbColor rgb="FFFFFDE7"/>
      <rgbColor rgb="FFE0F4F3"/>
      <rgbColor rgb="FF660066"/>
      <rgbColor rgb="FFFF8080"/>
      <rgbColor rgb="FF0066CC"/>
      <rgbColor rgb="FFE8E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4A6"/>
      <rgbColor rgb="FFEAECEE"/>
      <rgbColor rgb="FFD5F5E3"/>
      <rgbColor rgb="FFF8F9FA"/>
      <rgbColor rgb="FF99CCFF"/>
      <rgbColor rgb="FFFF99CC"/>
      <rgbColor rgb="FFCC99FF"/>
      <rgbColor rgb="FFF4F6F8"/>
      <rgbColor rgb="FF3366FF"/>
      <rgbColor rgb="FF33CCCC"/>
      <rgbColor rgb="FF99CC00"/>
      <rgbColor rgb="FFFFCC00"/>
      <rgbColor rgb="FFF5A623"/>
      <rgbColor rgb="FFFF6600"/>
      <rgbColor rgb="FF5D6D7E"/>
      <rgbColor rgb="FF999999"/>
      <rgbColor rgb="FF0B1F3A"/>
      <rgbColor rgb="FF27AE60"/>
      <rgbColor rgb="FF003300"/>
      <rgbColor rgb="FF5D4037"/>
      <rgbColor rgb="FF8B1A1A"/>
      <rgbColor rgb="FF993366"/>
      <rgbColor rgb="FF333399"/>
      <rgbColor rgb="FF1A3A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"/>
  <sheetViews>
    <sheetView showGridLines="0" zoomScale="63" zoomScaleNormal="63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2" customWidth="1"/>
    <col min="3" max="4" width="22" customWidth="1"/>
    <col min="5" max="5" width="30" customWidth="1"/>
    <col min="6" max="6" width="13" customWidth="1"/>
    <col min="7" max="7" width="28" customWidth="1"/>
    <col min="8" max="8" width="20" customWidth="1"/>
    <col min="9" max="9" width="8" customWidth="1"/>
    <col min="10" max="10" width="9" customWidth="1"/>
    <col min="11" max="11" width="16" customWidth="1"/>
    <col min="12" max="12" width="12" customWidth="1"/>
    <col min="13" max="13" width="18" customWidth="1"/>
    <col min="14" max="15" width="10" customWidth="1"/>
    <col min="16" max="16" width="22" customWidth="1"/>
    <col min="17" max="17" width="16" customWidth="1"/>
    <col min="18" max="18" width="12" customWidth="1"/>
    <col min="19" max="19" width="35" customWidth="1"/>
    <col min="20" max="20" width="12" customWidth="1"/>
  </cols>
  <sheetData>
    <row r="1" spans="1:20" ht="31.5" customHeight="1" x14ac:dyDescent="0.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</row>
    <row r="2" spans="1:20" ht="18" customHeight="1" x14ac:dyDescent="0.3">
      <c r="A2" s="12" t="s">
        <v>1</v>
      </c>
      <c r="B2" s="12"/>
      <c r="C2" s="12"/>
      <c r="D2" s="12"/>
      <c r="E2" s="12"/>
      <c r="F2" s="11" t="s">
        <v>2</v>
      </c>
      <c r="G2" s="11"/>
      <c r="H2" s="11"/>
      <c r="I2" s="11"/>
      <c r="J2" s="11"/>
      <c r="K2" s="10" t="s">
        <v>3</v>
      </c>
      <c r="L2" s="10"/>
      <c r="M2" s="10"/>
      <c r="N2" s="10"/>
      <c r="O2" s="10"/>
      <c r="P2" s="9" t="s">
        <v>4</v>
      </c>
      <c r="Q2" s="9"/>
      <c r="R2" s="9"/>
      <c r="S2" s="9"/>
      <c r="T2" s="14" t="s">
        <v>5</v>
      </c>
    </row>
    <row r="3" spans="1:20" ht="27.75" customHeight="1" x14ac:dyDescent="0.3">
      <c r="A3" s="15" t="s">
        <v>6</v>
      </c>
      <c r="B3" s="15" t="s">
        <v>7</v>
      </c>
      <c r="C3" s="15" t="s">
        <v>8</v>
      </c>
      <c r="D3" s="15" t="s">
        <v>9</v>
      </c>
      <c r="E3" s="15" t="s">
        <v>10</v>
      </c>
      <c r="F3" s="16" t="s">
        <v>11</v>
      </c>
      <c r="G3" s="16" t="s">
        <v>12</v>
      </c>
      <c r="H3" s="16" t="s">
        <v>13</v>
      </c>
      <c r="I3" s="16" t="s">
        <v>14</v>
      </c>
      <c r="J3" s="16" t="s">
        <v>15</v>
      </c>
      <c r="K3" s="17" t="s">
        <v>16</v>
      </c>
      <c r="L3" s="17" t="s">
        <v>17</v>
      </c>
      <c r="M3" s="17" t="s">
        <v>18</v>
      </c>
      <c r="N3" s="17" t="s">
        <v>19</v>
      </c>
      <c r="O3" s="17" t="s">
        <v>20</v>
      </c>
      <c r="P3" s="18" t="s">
        <v>21</v>
      </c>
      <c r="Q3" s="18" t="s">
        <v>22</v>
      </c>
      <c r="R3" s="18" t="s">
        <v>23</v>
      </c>
      <c r="S3" s="18" t="s">
        <v>24</v>
      </c>
      <c r="T3" s="19" t="s">
        <v>25</v>
      </c>
    </row>
    <row r="4" spans="1:20" ht="31.5" customHeight="1" x14ac:dyDescent="0.3">
      <c r="A4" s="20">
        <v>1</v>
      </c>
      <c r="B4" s="20" t="s">
        <v>26</v>
      </c>
      <c r="C4" s="21" t="s">
        <v>27</v>
      </c>
      <c r="D4" s="22" t="s">
        <v>28</v>
      </c>
      <c r="E4" s="23" t="s">
        <v>29</v>
      </c>
      <c r="F4" s="24" t="s">
        <v>30</v>
      </c>
      <c r="G4" s="25" t="s">
        <v>31</v>
      </c>
      <c r="H4" s="25" t="s">
        <v>32</v>
      </c>
      <c r="I4" s="26" t="s">
        <v>33</v>
      </c>
      <c r="J4" s="26" t="s">
        <v>34</v>
      </c>
      <c r="K4" s="27" t="s">
        <v>28</v>
      </c>
      <c r="L4" s="27" t="s">
        <v>35</v>
      </c>
      <c r="M4" s="28" t="s">
        <v>28</v>
      </c>
      <c r="N4" s="27" t="s">
        <v>36</v>
      </c>
      <c r="O4" s="27" t="s">
        <v>37</v>
      </c>
      <c r="P4" s="29" t="s">
        <v>38</v>
      </c>
      <c r="Q4" s="29" t="s">
        <v>39</v>
      </c>
      <c r="R4" s="29" t="s">
        <v>40</v>
      </c>
      <c r="S4" s="30" t="s">
        <v>41</v>
      </c>
      <c r="T4" s="31" t="str">
        <f t="shared" ref="T4:T37" si="0">IF(K4="","",IF(OR(AND(F4="BOWL FIRST",L4="field"),AND(F4="BAT FIRST",L4="bat"),F4="TOSS-UP"),"✓ CORRECT","✗ WRONG"))</f>
        <v>✓ CORRECT</v>
      </c>
    </row>
    <row r="5" spans="1:20" ht="31.5" customHeight="1" x14ac:dyDescent="0.3">
      <c r="A5" s="20">
        <v>2</v>
      </c>
      <c r="B5" s="20" t="s">
        <v>42</v>
      </c>
      <c r="C5" s="21" t="s">
        <v>43</v>
      </c>
      <c r="D5" s="22" t="s">
        <v>44</v>
      </c>
      <c r="E5" s="23" t="s">
        <v>29</v>
      </c>
      <c r="F5" s="24" t="s">
        <v>30</v>
      </c>
      <c r="G5" s="25" t="s">
        <v>31</v>
      </c>
      <c r="H5" s="25" t="s">
        <v>45</v>
      </c>
      <c r="I5" s="26" t="s">
        <v>46</v>
      </c>
      <c r="J5" s="26" t="s">
        <v>47</v>
      </c>
      <c r="K5" s="27" t="s">
        <v>44</v>
      </c>
      <c r="L5" s="27" t="s">
        <v>35</v>
      </c>
      <c r="M5" s="28" t="s">
        <v>43</v>
      </c>
      <c r="N5" s="27" t="s">
        <v>48</v>
      </c>
      <c r="O5" s="27" t="s">
        <v>49</v>
      </c>
      <c r="P5" s="29" t="s">
        <v>50</v>
      </c>
      <c r="Q5" s="29" t="s">
        <v>51</v>
      </c>
      <c r="R5" s="29" t="s">
        <v>52</v>
      </c>
      <c r="S5" s="30" t="s">
        <v>53</v>
      </c>
      <c r="T5" s="32" t="str">
        <f t="shared" si="0"/>
        <v>✓ CORRECT</v>
      </c>
    </row>
    <row r="6" spans="1:20" ht="31.5" customHeight="1" x14ac:dyDescent="0.3">
      <c r="A6" s="20">
        <v>3</v>
      </c>
      <c r="B6" s="20" t="s">
        <v>42</v>
      </c>
      <c r="C6" s="21" t="s">
        <v>54</v>
      </c>
      <c r="D6" s="22" t="s">
        <v>55</v>
      </c>
      <c r="E6" s="23" t="s">
        <v>56</v>
      </c>
      <c r="F6" s="24" t="s">
        <v>57</v>
      </c>
      <c r="G6" s="25" t="s">
        <v>58</v>
      </c>
      <c r="H6" s="25" t="s">
        <v>59</v>
      </c>
      <c r="I6" s="26" t="s">
        <v>60</v>
      </c>
      <c r="J6" s="26" t="s">
        <v>61</v>
      </c>
      <c r="K6" s="27" t="s">
        <v>55</v>
      </c>
      <c r="L6" s="27" t="s">
        <v>35</v>
      </c>
      <c r="M6" s="28" t="s">
        <v>55</v>
      </c>
      <c r="N6" s="27" t="s">
        <v>62</v>
      </c>
      <c r="O6" s="27" t="s">
        <v>63</v>
      </c>
      <c r="P6" s="29" t="s">
        <v>64</v>
      </c>
      <c r="Q6" s="29" t="s">
        <v>65</v>
      </c>
      <c r="R6" s="29" t="s">
        <v>66</v>
      </c>
      <c r="S6" s="30" t="s">
        <v>67</v>
      </c>
      <c r="T6" s="31" t="str">
        <f t="shared" si="0"/>
        <v>✓ CORRECT</v>
      </c>
    </row>
    <row r="7" spans="1:20" ht="31.5" customHeight="1" x14ac:dyDescent="0.3">
      <c r="A7" s="20">
        <v>4</v>
      </c>
      <c r="B7" s="20" t="s">
        <v>68</v>
      </c>
      <c r="C7" s="21" t="s">
        <v>27</v>
      </c>
      <c r="D7" s="22" t="s">
        <v>43</v>
      </c>
      <c r="E7" s="23" t="s">
        <v>29</v>
      </c>
      <c r="F7" s="24" t="s">
        <v>30</v>
      </c>
      <c r="G7" s="25" t="s">
        <v>31</v>
      </c>
      <c r="H7" s="25" t="s">
        <v>32</v>
      </c>
      <c r="I7" s="26" t="s">
        <v>33</v>
      </c>
      <c r="J7" s="26" t="s">
        <v>34</v>
      </c>
      <c r="K7" s="27" t="s">
        <v>43</v>
      </c>
      <c r="L7" s="27" t="s">
        <v>35</v>
      </c>
      <c r="M7" s="28" t="s">
        <v>27</v>
      </c>
      <c r="N7" s="27" t="s">
        <v>69</v>
      </c>
      <c r="O7" s="27" t="s">
        <v>70</v>
      </c>
      <c r="P7" s="29" t="s">
        <v>71</v>
      </c>
      <c r="Q7" s="29" t="s">
        <v>72</v>
      </c>
      <c r="R7" s="29" t="s">
        <v>73</v>
      </c>
      <c r="S7" s="30" t="s">
        <v>74</v>
      </c>
      <c r="T7" s="32" t="str">
        <f t="shared" si="0"/>
        <v>✓ CORRECT</v>
      </c>
    </row>
    <row r="8" spans="1:20" ht="31.5" customHeight="1" x14ac:dyDescent="0.3">
      <c r="A8" s="20">
        <v>5</v>
      </c>
      <c r="B8" s="20" t="s">
        <v>75</v>
      </c>
      <c r="C8" s="21" t="s">
        <v>28</v>
      </c>
      <c r="D8" s="22" t="s">
        <v>44</v>
      </c>
      <c r="E8" s="23" t="s">
        <v>29</v>
      </c>
      <c r="F8" s="24" t="s">
        <v>30</v>
      </c>
      <c r="G8" s="25" t="s">
        <v>31</v>
      </c>
      <c r="H8" s="25" t="s">
        <v>76</v>
      </c>
      <c r="I8" s="26" t="s">
        <v>77</v>
      </c>
      <c r="J8" s="26" t="s">
        <v>78</v>
      </c>
      <c r="K8" s="27" t="s">
        <v>28</v>
      </c>
      <c r="L8" s="27" t="s">
        <v>79</v>
      </c>
      <c r="M8" s="28" t="s">
        <v>28</v>
      </c>
      <c r="N8" s="27" t="s">
        <v>80</v>
      </c>
      <c r="O8" s="27" t="s">
        <v>81</v>
      </c>
      <c r="P8" s="29" t="s">
        <v>82</v>
      </c>
      <c r="Q8" s="29" t="s">
        <v>83</v>
      </c>
      <c r="R8" s="29" t="s">
        <v>52</v>
      </c>
      <c r="S8" s="30" t="s">
        <v>84</v>
      </c>
      <c r="T8" s="31" t="str">
        <f t="shared" si="0"/>
        <v>✓ CORRECT</v>
      </c>
    </row>
    <row r="9" spans="1:20" ht="31.5" customHeight="1" x14ac:dyDescent="0.3">
      <c r="A9" s="20">
        <v>6</v>
      </c>
      <c r="B9" s="20" t="s">
        <v>85</v>
      </c>
      <c r="C9" s="21" t="s">
        <v>27</v>
      </c>
      <c r="D9" s="22" t="s">
        <v>55</v>
      </c>
      <c r="E9" s="23" t="s">
        <v>56</v>
      </c>
      <c r="F9" s="24" t="s">
        <v>57</v>
      </c>
      <c r="G9" s="25" t="s">
        <v>58</v>
      </c>
      <c r="H9" s="25" t="s">
        <v>32</v>
      </c>
      <c r="I9" s="26" t="s">
        <v>33</v>
      </c>
      <c r="J9" s="26" t="s">
        <v>34</v>
      </c>
      <c r="K9" s="27" t="s">
        <v>27</v>
      </c>
      <c r="L9" s="27" t="s">
        <v>79</v>
      </c>
      <c r="M9" s="28" t="s">
        <v>27</v>
      </c>
      <c r="N9" s="27" t="s">
        <v>86</v>
      </c>
      <c r="O9" s="27" t="s">
        <v>87</v>
      </c>
      <c r="P9" s="29" t="s">
        <v>88</v>
      </c>
      <c r="Q9" s="29" t="s">
        <v>89</v>
      </c>
      <c r="R9" s="29" t="s">
        <v>90</v>
      </c>
      <c r="S9" s="30" t="s">
        <v>91</v>
      </c>
      <c r="T9" s="32" t="str">
        <f t="shared" si="0"/>
        <v>✗ WRONG</v>
      </c>
    </row>
    <row r="10" spans="1:20" ht="31.5" customHeight="1" x14ac:dyDescent="0.3">
      <c r="A10" s="20">
        <v>7</v>
      </c>
      <c r="B10" s="20" t="s">
        <v>92</v>
      </c>
      <c r="C10" s="21" t="s">
        <v>28</v>
      </c>
      <c r="D10" s="22" t="s">
        <v>54</v>
      </c>
      <c r="E10" s="23" t="s">
        <v>29</v>
      </c>
      <c r="F10" s="24" t="s">
        <v>30</v>
      </c>
      <c r="G10" s="25" t="s">
        <v>31</v>
      </c>
      <c r="H10" s="25" t="s">
        <v>76</v>
      </c>
      <c r="I10" s="26" t="s">
        <v>77</v>
      </c>
      <c r="J10" s="26" t="s">
        <v>78</v>
      </c>
      <c r="K10" s="27" t="s">
        <v>54</v>
      </c>
      <c r="L10" s="27" t="s">
        <v>35</v>
      </c>
      <c r="M10" s="28" t="s">
        <v>28</v>
      </c>
      <c r="N10" s="27" t="s">
        <v>93</v>
      </c>
      <c r="O10" s="27" t="s">
        <v>94</v>
      </c>
      <c r="P10" s="29" t="s">
        <v>95</v>
      </c>
      <c r="Q10" s="29" t="s">
        <v>96</v>
      </c>
      <c r="R10" s="29" t="s">
        <v>66</v>
      </c>
      <c r="S10" s="30" t="s">
        <v>97</v>
      </c>
      <c r="T10" s="31" t="str">
        <f t="shared" si="0"/>
        <v>✓ CORRECT</v>
      </c>
    </row>
    <row r="11" spans="1:20" ht="31.5" customHeight="1" x14ac:dyDescent="0.3">
      <c r="A11" s="20">
        <v>8</v>
      </c>
      <c r="B11" s="20" t="s">
        <v>98</v>
      </c>
      <c r="C11" s="21" t="s">
        <v>55</v>
      </c>
      <c r="D11" s="22" t="s">
        <v>43</v>
      </c>
      <c r="E11" s="23" t="s">
        <v>56</v>
      </c>
      <c r="F11" s="24" t="s">
        <v>57</v>
      </c>
      <c r="G11" s="25" t="s">
        <v>58</v>
      </c>
      <c r="H11" s="25" t="s">
        <v>99</v>
      </c>
      <c r="I11" s="26" t="s">
        <v>100</v>
      </c>
      <c r="J11" s="26" t="s">
        <v>101</v>
      </c>
      <c r="K11" s="27" t="s">
        <v>55</v>
      </c>
      <c r="L11" s="27" t="s">
        <v>79</v>
      </c>
      <c r="M11" s="28" t="s">
        <v>55</v>
      </c>
      <c r="N11" s="27" t="s">
        <v>102</v>
      </c>
      <c r="O11" s="27" t="s">
        <v>103</v>
      </c>
      <c r="P11" s="29" t="s">
        <v>104</v>
      </c>
      <c r="Q11" s="29" t="s">
        <v>105</v>
      </c>
      <c r="R11" s="29" t="s">
        <v>106</v>
      </c>
      <c r="S11" s="30" t="s">
        <v>107</v>
      </c>
      <c r="T11" s="32" t="str">
        <f t="shared" si="0"/>
        <v>✗ WRONG</v>
      </c>
    </row>
    <row r="12" spans="1:20" ht="31.5" customHeight="1" x14ac:dyDescent="0.3">
      <c r="A12" s="20">
        <v>9</v>
      </c>
      <c r="B12" s="20" t="s">
        <v>108</v>
      </c>
      <c r="C12" s="21" t="s">
        <v>44</v>
      </c>
      <c r="D12" s="22" t="s">
        <v>54</v>
      </c>
      <c r="E12" s="23" t="s">
        <v>29</v>
      </c>
      <c r="F12" s="24" t="s">
        <v>30</v>
      </c>
      <c r="G12" s="25" t="s">
        <v>31</v>
      </c>
      <c r="H12" s="25" t="s">
        <v>109</v>
      </c>
      <c r="I12" s="26" t="s">
        <v>110</v>
      </c>
      <c r="J12" s="26" t="s">
        <v>111</v>
      </c>
      <c r="K12" s="27" t="s">
        <v>44</v>
      </c>
      <c r="L12" s="27" t="s">
        <v>79</v>
      </c>
      <c r="M12" s="28" t="s">
        <v>44</v>
      </c>
      <c r="N12" s="27" t="s">
        <v>112</v>
      </c>
      <c r="O12" s="27" t="s">
        <v>113</v>
      </c>
      <c r="P12" s="29" t="s">
        <v>114</v>
      </c>
      <c r="Q12" s="29" t="s">
        <v>115</v>
      </c>
      <c r="R12" s="29" t="s">
        <v>106</v>
      </c>
      <c r="S12" s="30" t="s">
        <v>116</v>
      </c>
      <c r="T12" s="31" t="str">
        <f t="shared" si="0"/>
        <v>✓ CORRECT</v>
      </c>
    </row>
    <row r="13" spans="1:20" ht="31.5" customHeight="1" x14ac:dyDescent="0.3">
      <c r="A13" s="20">
        <v>10</v>
      </c>
      <c r="B13" s="20" t="s">
        <v>117</v>
      </c>
      <c r="C13" s="21" t="s">
        <v>55</v>
      </c>
      <c r="D13" s="22" t="s">
        <v>28</v>
      </c>
      <c r="E13" s="23" t="s">
        <v>56</v>
      </c>
      <c r="F13" s="24" t="s">
        <v>57</v>
      </c>
      <c r="G13" s="25" t="s">
        <v>58</v>
      </c>
      <c r="H13" s="25" t="s">
        <v>99</v>
      </c>
      <c r="I13" s="26" t="s">
        <v>100</v>
      </c>
      <c r="J13" s="26" t="s">
        <v>101</v>
      </c>
      <c r="K13" s="27" t="s">
        <v>28</v>
      </c>
      <c r="L13" s="27" t="s">
        <v>35</v>
      </c>
      <c r="M13" s="28" t="s">
        <v>28</v>
      </c>
      <c r="N13" s="27" t="s">
        <v>118</v>
      </c>
      <c r="O13" s="27" t="s">
        <v>119</v>
      </c>
      <c r="P13" s="29" t="s">
        <v>120</v>
      </c>
      <c r="Q13" s="29" t="s">
        <v>89</v>
      </c>
      <c r="R13" s="29" t="s">
        <v>121</v>
      </c>
      <c r="S13" s="30" t="s">
        <v>122</v>
      </c>
      <c r="T13" s="32" t="str">
        <f t="shared" si="0"/>
        <v>✓ CORRECT</v>
      </c>
    </row>
    <row r="14" spans="1:20" ht="31.5" customHeight="1" x14ac:dyDescent="0.3">
      <c r="A14" s="20">
        <v>11</v>
      </c>
      <c r="B14" s="20" t="s">
        <v>123</v>
      </c>
      <c r="C14" s="21" t="s">
        <v>44</v>
      </c>
      <c r="D14" s="22" t="s">
        <v>55</v>
      </c>
      <c r="E14" s="23" t="s">
        <v>56</v>
      </c>
      <c r="F14" s="24" t="s">
        <v>57</v>
      </c>
      <c r="G14" s="25" t="s">
        <v>58</v>
      </c>
      <c r="H14" s="25" t="s">
        <v>109</v>
      </c>
      <c r="I14" s="26" t="s">
        <v>110</v>
      </c>
      <c r="J14" s="26" t="s">
        <v>111</v>
      </c>
      <c r="K14" s="27" t="s">
        <v>55</v>
      </c>
      <c r="L14" s="27" t="s">
        <v>35</v>
      </c>
      <c r="M14" s="28" t="s">
        <v>55</v>
      </c>
      <c r="N14" s="27" t="s">
        <v>124</v>
      </c>
      <c r="O14" s="27" t="s">
        <v>125</v>
      </c>
      <c r="P14" s="29" t="s">
        <v>126</v>
      </c>
      <c r="Q14" s="29" t="s">
        <v>127</v>
      </c>
      <c r="R14" s="29" t="s">
        <v>128</v>
      </c>
      <c r="S14" s="30" t="s">
        <v>129</v>
      </c>
      <c r="T14" s="31" t="str">
        <f t="shared" si="0"/>
        <v>✓ CORRECT</v>
      </c>
    </row>
    <row r="15" spans="1:20" ht="31.5" customHeight="1" x14ac:dyDescent="0.3">
      <c r="A15" s="20">
        <v>12</v>
      </c>
      <c r="B15" s="20" t="s">
        <v>130</v>
      </c>
      <c r="C15" s="21" t="s">
        <v>54</v>
      </c>
      <c r="D15" s="22" t="s">
        <v>27</v>
      </c>
      <c r="E15" s="23" t="s">
        <v>131</v>
      </c>
      <c r="F15" s="24" t="s">
        <v>132</v>
      </c>
      <c r="G15" s="25" t="s">
        <v>133</v>
      </c>
      <c r="H15" s="25" t="s">
        <v>134</v>
      </c>
      <c r="I15" s="26" t="s">
        <v>135</v>
      </c>
      <c r="J15" s="26" t="s">
        <v>136</v>
      </c>
      <c r="K15" s="27" t="s">
        <v>54</v>
      </c>
      <c r="L15" s="27" t="s">
        <v>79</v>
      </c>
      <c r="M15" s="28" t="s">
        <v>54</v>
      </c>
      <c r="N15" s="27" t="s">
        <v>137</v>
      </c>
      <c r="O15" s="27" t="s">
        <v>138</v>
      </c>
      <c r="P15" s="29" t="s">
        <v>139</v>
      </c>
      <c r="Q15" s="29" t="s">
        <v>65</v>
      </c>
      <c r="R15" s="29" t="s">
        <v>90</v>
      </c>
      <c r="S15" s="30" t="s">
        <v>140</v>
      </c>
      <c r="T15" s="32" t="str">
        <f t="shared" si="0"/>
        <v>✓ CORRECT</v>
      </c>
    </row>
    <row r="16" spans="1:20" ht="31.5" customHeight="1" x14ac:dyDescent="0.3">
      <c r="A16" s="20">
        <v>13</v>
      </c>
      <c r="B16" s="20" t="s">
        <v>141</v>
      </c>
      <c r="C16" s="21" t="s">
        <v>54</v>
      </c>
      <c r="D16" s="22" t="s">
        <v>28</v>
      </c>
      <c r="E16" s="23" t="s">
        <v>131</v>
      </c>
      <c r="F16" s="24" t="s">
        <v>132</v>
      </c>
      <c r="G16" s="25" t="s">
        <v>133</v>
      </c>
      <c r="H16" s="25" t="s">
        <v>134</v>
      </c>
      <c r="I16" s="26" t="s">
        <v>135</v>
      </c>
      <c r="J16" s="26" t="s">
        <v>136</v>
      </c>
      <c r="K16" s="27" t="s">
        <v>54</v>
      </c>
      <c r="L16" s="27" t="s">
        <v>79</v>
      </c>
      <c r="M16" s="28" t="s">
        <v>28</v>
      </c>
      <c r="N16" s="27" t="s">
        <v>142</v>
      </c>
      <c r="O16" s="27" t="s">
        <v>143</v>
      </c>
      <c r="P16" s="29" t="s">
        <v>144</v>
      </c>
      <c r="Q16" s="29" t="s">
        <v>145</v>
      </c>
      <c r="R16" s="29" t="s">
        <v>66</v>
      </c>
      <c r="S16" s="30" t="s">
        <v>146</v>
      </c>
      <c r="T16" s="31" t="str">
        <f t="shared" si="0"/>
        <v>✓ CORRECT</v>
      </c>
    </row>
    <row r="17" spans="1:20" ht="31.5" customHeight="1" x14ac:dyDescent="0.3">
      <c r="A17" s="20">
        <v>14</v>
      </c>
      <c r="B17" s="20" t="s">
        <v>147</v>
      </c>
      <c r="C17" s="21" t="s">
        <v>27</v>
      </c>
      <c r="D17" s="22" t="s">
        <v>44</v>
      </c>
      <c r="E17" s="23" t="s">
        <v>148</v>
      </c>
      <c r="F17" s="24" t="s">
        <v>30</v>
      </c>
      <c r="G17" s="25" t="s">
        <v>149</v>
      </c>
      <c r="H17" s="25" t="s">
        <v>32</v>
      </c>
      <c r="I17" s="26" t="s">
        <v>33</v>
      </c>
      <c r="J17" s="26" t="s">
        <v>34</v>
      </c>
      <c r="K17" s="27" t="s">
        <v>44</v>
      </c>
      <c r="L17" s="27" t="s">
        <v>35</v>
      </c>
      <c r="M17" s="28" t="s">
        <v>44</v>
      </c>
      <c r="N17" s="27" t="s">
        <v>142</v>
      </c>
      <c r="O17" s="27" t="s">
        <v>150</v>
      </c>
      <c r="P17" s="29" t="s">
        <v>151</v>
      </c>
      <c r="Q17" s="29" t="s">
        <v>39</v>
      </c>
      <c r="R17" s="29" t="s">
        <v>106</v>
      </c>
      <c r="S17" s="30" t="s">
        <v>152</v>
      </c>
      <c r="T17" s="32" t="str">
        <f t="shared" si="0"/>
        <v>✓ CORRECT</v>
      </c>
    </row>
    <row r="18" spans="1:20" ht="31.5" customHeight="1" x14ac:dyDescent="0.3">
      <c r="A18" s="20">
        <v>15</v>
      </c>
      <c r="B18" s="20" t="s">
        <v>153</v>
      </c>
      <c r="C18" s="21" t="s">
        <v>43</v>
      </c>
      <c r="D18" s="22" t="s">
        <v>55</v>
      </c>
      <c r="E18" s="23" t="s">
        <v>148</v>
      </c>
      <c r="F18" s="24" t="s">
        <v>30</v>
      </c>
      <c r="G18" s="25" t="s">
        <v>149</v>
      </c>
      <c r="H18" s="25" t="s">
        <v>45</v>
      </c>
      <c r="I18" s="26" t="s">
        <v>46</v>
      </c>
      <c r="J18" s="26" t="s">
        <v>47</v>
      </c>
      <c r="K18" s="27" t="s">
        <v>55</v>
      </c>
      <c r="L18" s="27" t="s">
        <v>35</v>
      </c>
      <c r="M18" s="28" t="s">
        <v>43</v>
      </c>
      <c r="N18" s="27" t="s">
        <v>154</v>
      </c>
      <c r="O18" s="27" t="s">
        <v>155</v>
      </c>
      <c r="P18" s="29" t="s">
        <v>156</v>
      </c>
      <c r="Q18" s="29" t="s">
        <v>157</v>
      </c>
      <c r="R18" s="29" t="s">
        <v>158</v>
      </c>
      <c r="S18" s="30" t="s">
        <v>159</v>
      </c>
      <c r="T18" s="31" t="str">
        <f t="shared" si="0"/>
        <v>✓ CORRECT</v>
      </c>
    </row>
    <row r="19" spans="1:20" ht="31.5" customHeight="1" x14ac:dyDescent="0.3">
      <c r="A19" s="20">
        <v>16</v>
      </c>
      <c r="B19" s="20" t="s">
        <v>160</v>
      </c>
      <c r="C19" s="21" t="s">
        <v>54</v>
      </c>
      <c r="D19" s="22" t="s">
        <v>27</v>
      </c>
      <c r="E19" s="23" t="s">
        <v>148</v>
      </c>
      <c r="F19" s="24" t="s">
        <v>30</v>
      </c>
      <c r="G19" s="25" t="s">
        <v>149</v>
      </c>
      <c r="H19" s="25" t="s">
        <v>134</v>
      </c>
      <c r="I19" s="26" t="s">
        <v>135</v>
      </c>
      <c r="J19" s="26" t="s">
        <v>136</v>
      </c>
      <c r="K19" s="27" t="s">
        <v>27</v>
      </c>
      <c r="L19" s="27" t="s">
        <v>35</v>
      </c>
      <c r="M19" s="28" t="s">
        <v>27</v>
      </c>
      <c r="N19" s="27" t="s">
        <v>161</v>
      </c>
      <c r="O19" s="27" t="s">
        <v>162</v>
      </c>
      <c r="P19" s="29" t="s">
        <v>163</v>
      </c>
      <c r="Q19" s="29" t="s">
        <v>39</v>
      </c>
      <c r="R19" s="29" t="s">
        <v>164</v>
      </c>
      <c r="S19" s="30" t="s">
        <v>165</v>
      </c>
      <c r="T19" s="32" t="str">
        <f t="shared" si="0"/>
        <v>✓ CORRECT</v>
      </c>
    </row>
    <row r="20" spans="1:20" ht="31.5" customHeight="1" x14ac:dyDescent="0.3">
      <c r="A20" s="20">
        <v>17</v>
      </c>
      <c r="B20" s="20" t="s">
        <v>166</v>
      </c>
      <c r="C20" s="21" t="s">
        <v>43</v>
      </c>
      <c r="D20" s="22" t="s">
        <v>44</v>
      </c>
      <c r="E20" s="23" t="s">
        <v>148</v>
      </c>
      <c r="F20" s="24" t="s">
        <v>30</v>
      </c>
      <c r="G20" s="25" t="s">
        <v>149</v>
      </c>
      <c r="H20" s="25" t="s">
        <v>45</v>
      </c>
      <c r="I20" s="26" t="s">
        <v>46</v>
      </c>
      <c r="J20" s="26" t="s">
        <v>47</v>
      </c>
      <c r="K20" s="27" t="s">
        <v>44</v>
      </c>
      <c r="L20" s="27" t="s">
        <v>35</v>
      </c>
      <c r="M20" s="28" t="s">
        <v>43</v>
      </c>
      <c r="N20" s="27" t="s">
        <v>167</v>
      </c>
      <c r="O20" s="27" t="s">
        <v>168</v>
      </c>
      <c r="P20" s="29" t="s">
        <v>169</v>
      </c>
      <c r="Q20" s="29" t="s">
        <v>83</v>
      </c>
      <c r="R20" s="29" t="s">
        <v>66</v>
      </c>
      <c r="S20" s="30" t="s">
        <v>170</v>
      </c>
      <c r="T20" s="31" t="str">
        <f t="shared" si="0"/>
        <v>✓ CORRECT</v>
      </c>
    </row>
    <row r="21" spans="1:20" ht="31.5" customHeight="1" x14ac:dyDescent="0.3">
      <c r="A21" s="20">
        <v>18</v>
      </c>
      <c r="B21" s="20" t="s">
        <v>171</v>
      </c>
      <c r="C21" s="21" t="s">
        <v>54</v>
      </c>
      <c r="D21" s="22" t="s">
        <v>43</v>
      </c>
      <c r="E21" s="23" t="s">
        <v>148</v>
      </c>
      <c r="F21" s="24" t="s">
        <v>30</v>
      </c>
      <c r="G21" s="25" t="s">
        <v>149</v>
      </c>
      <c r="H21" s="25" t="s">
        <v>134</v>
      </c>
      <c r="I21" s="26" t="s">
        <v>135</v>
      </c>
      <c r="J21" s="26" t="s">
        <v>136</v>
      </c>
      <c r="K21" s="27" t="s">
        <v>43</v>
      </c>
      <c r="L21" s="27" t="s">
        <v>35</v>
      </c>
      <c r="M21" s="28" t="s">
        <v>43</v>
      </c>
      <c r="N21" s="27" t="s">
        <v>172</v>
      </c>
      <c r="O21" s="27" t="s">
        <v>173</v>
      </c>
      <c r="P21" s="29" t="s">
        <v>174</v>
      </c>
      <c r="Q21" s="29" t="s">
        <v>39</v>
      </c>
      <c r="R21" s="29" t="s">
        <v>175</v>
      </c>
      <c r="S21" s="30" t="s">
        <v>176</v>
      </c>
      <c r="T21" s="32" t="str">
        <f t="shared" si="0"/>
        <v>✓ CORRECT</v>
      </c>
    </row>
    <row r="22" spans="1:20" ht="31.5" customHeight="1" x14ac:dyDescent="0.3">
      <c r="A22" s="20">
        <v>19</v>
      </c>
      <c r="B22" s="20" t="s">
        <v>177</v>
      </c>
      <c r="C22" s="21" t="s">
        <v>27</v>
      </c>
      <c r="D22" s="22" t="s">
        <v>28</v>
      </c>
      <c r="E22" s="23" t="s">
        <v>148</v>
      </c>
      <c r="F22" s="24" t="s">
        <v>30</v>
      </c>
      <c r="G22" s="25" t="s">
        <v>149</v>
      </c>
      <c r="H22" s="25" t="s">
        <v>32</v>
      </c>
      <c r="I22" s="26" t="s">
        <v>33</v>
      </c>
      <c r="J22" s="26" t="s">
        <v>34</v>
      </c>
      <c r="K22" s="27" t="s">
        <v>28</v>
      </c>
      <c r="L22" s="27" t="s">
        <v>35</v>
      </c>
      <c r="M22" s="28" t="s">
        <v>27</v>
      </c>
      <c r="N22" s="27" t="s">
        <v>178</v>
      </c>
      <c r="O22" s="27" t="s">
        <v>179</v>
      </c>
      <c r="P22" s="29" t="s">
        <v>180</v>
      </c>
      <c r="Q22" s="29" t="s">
        <v>181</v>
      </c>
      <c r="R22" s="29" t="s">
        <v>52</v>
      </c>
      <c r="S22" s="30" t="s">
        <v>182</v>
      </c>
      <c r="T22" s="31" t="str">
        <f t="shared" si="0"/>
        <v>✓ CORRECT</v>
      </c>
    </row>
    <row r="23" spans="1:20" ht="31.5" customHeight="1" x14ac:dyDescent="0.3">
      <c r="A23" s="20">
        <v>20</v>
      </c>
      <c r="B23" s="20" t="s">
        <v>183</v>
      </c>
      <c r="C23" s="21" t="s">
        <v>55</v>
      </c>
      <c r="D23" s="22" t="s">
        <v>54</v>
      </c>
      <c r="E23" s="23" t="s">
        <v>148</v>
      </c>
      <c r="F23" s="24" t="s">
        <v>57</v>
      </c>
      <c r="G23" s="25" t="s">
        <v>58</v>
      </c>
      <c r="H23" s="25" t="s">
        <v>99</v>
      </c>
      <c r="I23" s="26" t="s">
        <v>100</v>
      </c>
      <c r="J23" s="26" t="s">
        <v>101</v>
      </c>
      <c r="K23" s="27" t="s">
        <v>55</v>
      </c>
      <c r="L23" s="27" t="s">
        <v>79</v>
      </c>
      <c r="M23" s="28" t="s">
        <v>55</v>
      </c>
      <c r="N23" s="27" t="s">
        <v>184</v>
      </c>
      <c r="O23" s="27" t="s">
        <v>185</v>
      </c>
      <c r="P23" s="29" t="s">
        <v>186</v>
      </c>
      <c r="Q23" s="29" t="s">
        <v>39</v>
      </c>
      <c r="R23" s="29" t="s">
        <v>164</v>
      </c>
      <c r="S23" s="30" t="s">
        <v>187</v>
      </c>
      <c r="T23" s="32" t="str">
        <f t="shared" si="0"/>
        <v>✗ WRONG</v>
      </c>
    </row>
    <row r="24" spans="1:20" ht="31.5" customHeight="1" x14ac:dyDescent="0.3">
      <c r="A24" s="20">
        <v>21</v>
      </c>
      <c r="B24" s="20" t="s">
        <v>183</v>
      </c>
      <c r="C24" s="21" t="s">
        <v>27</v>
      </c>
      <c r="D24" s="22" t="s">
        <v>43</v>
      </c>
      <c r="E24" s="23" t="s">
        <v>148</v>
      </c>
      <c r="F24" s="24" t="s">
        <v>30</v>
      </c>
      <c r="G24" s="25" t="s">
        <v>149</v>
      </c>
      <c r="H24" s="25" t="s">
        <v>32</v>
      </c>
      <c r="I24" s="26" t="s">
        <v>33</v>
      </c>
      <c r="J24" s="26" t="s">
        <v>34</v>
      </c>
      <c r="K24" s="27" t="s">
        <v>43</v>
      </c>
      <c r="L24" s="27" t="s">
        <v>35</v>
      </c>
      <c r="M24" s="28" t="s">
        <v>188</v>
      </c>
      <c r="N24" s="27" t="s">
        <v>189</v>
      </c>
      <c r="O24" s="27" t="s">
        <v>190</v>
      </c>
      <c r="P24" s="29" t="s">
        <v>191</v>
      </c>
      <c r="Q24" s="29" t="s">
        <v>72</v>
      </c>
      <c r="R24" s="29" t="s">
        <v>192</v>
      </c>
      <c r="S24" s="30" t="s">
        <v>193</v>
      </c>
      <c r="T24" s="31" t="str">
        <f t="shared" si="0"/>
        <v>✓ CORRECT</v>
      </c>
    </row>
    <row r="25" spans="1:20" ht="31.5" customHeight="1" x14ac:dyDescent="0.3">
      <c r="A25" s="20">
        <v>22</v>
      </c>
      <c r="B25" s="20" t="s">
        <v>194</v>
      </c>
      <c r="C25" s="21" t="s">
        <v>28</v>
      </c>
      <c r="D25" s="22" t="s">
        <v>44</v>
      </c>
      <c r="E25" s="23" t="s">
        <v>148</v>
      </c>
      <c r="F25" s="24" t="s">
        <v>30</v>
      </c>
      <c r="G25" s="25" t="s">
        <v>149</v>
      </c>
      <c r="H25" s="25" t="s">
        <v>76</v>
      </c>
      <c r="I25" s="26" t="s">
        <v>77</v>
      </c>
      <c r="J25" s="26" t="s">
        <v>78</v>
      </c>
      <c r="K25" s="27" t="s">
        <v>28</v>
      </c>
      <c r="L25" s="27" t="s">
        <v>79</v>
      </c>
      <c r="M25" s="28" t="s">
        <v>44</v>
      </c>
      <c r="N25" s="27" t="s">
        <v>118</v>
      </c>
      <c r="O25" s="27" t="s">
        <v>195</v>
      </c>
      <c r="P25" s="29" t="s">
        <v>196</v>
      </c>
      <c r="Q25" s="29" t="s">
        <v>96</v>
      </c>
      <c r="R25" s="29" t="s">
        <v>158</v>
      </c>
      <c r="S25" s="30" t="s">
        <v>197</v>
      </c>
      <c r="T25" s="32" t="str">
        <f t="shared" si="0"/>
        <v>✓ CORRECT</v>
      </c>
    </row>
    <row r="26" spans="1:20" ht="31.5" customHeight="1" x14ac:dyDescent="0.3">
      <c r="A26" s="20">
        <v>23</v>
      </c>
      <c r="B26" s="20" t="s">
        <v>198</v>
      </c>
      <c r="C26" s="21" t="s">
        <v>28</v>
      </c>
      <c r="D26" s="22" t="s">
        <v>43</v>
      </c>
      <c r="E26" s="23" t="s">
        <v>148</v>
      </c>
      <c r="F26" s="24" t="s">
        <v>30</v>
      </c>
      <c r="G26" s="25" t="s">
        <v>149</v>
      </c>
      <c r="H26" s="25" t="s">
        <v>76</v>
      </c>
      <c r="I26" s="26" t="s">
        <v>77</v>
      </c>
      <c r="J26" s="26" t="s">
        <v>78</v>
      </c>
      <c r="K26" s="27" t="s">
        <v>43</v>
      </c>
      <c r="L26" s="27" t="s">
        <v>35</v>
      </c>
      <c r="M26" s="28" t="s">
        <v>43</v>
      </c>
      <c r="N26" s="27" t="s">
        <v>124</v>
      </c>
      <c r="O26" s="27" t="s">
        <v>199</v>
      </c>
      <c r="P26" s="29" t="s">
        <v>200</v>
      </c>
      <c r="Q26" s="29" t="s">
        <v>105</v>
      </c>
      <c r="R26" s="29" t="s">
        <v>201</v>
      </c>
      <c r="S26" s="30" t="s">
        <v>202</v>
      </c>
      <c r="T26" s="31" t="str">
        <f t="shared" si="0"/>
        <v>✓ CORRECT</v>
      </c>
    </row>
    <row r="27" spans="1:20" ht="31.5" customHeight="1" x14ac:dyDescent="0.3">
      <c r="A27" s="20">
        <v>24</v>
      </c>
      <c r="B27" s="20" t="s">
        <v>203</v>
      </c>
      <c r="C27" s="21" t="s">
        <v>27</v>
      </c>
      <c r="D27" s="22" t="s">
        <v>55</v>
      </c>
      <c r="E27" s="23" t="s">
        <v>148</v>
      </c>
      <c r="F27" s="24" t="s">
        <v>30</v>
      </c>
      <c r="G27" s="25" t="s">
        <v>149</v>
      </c>
      <c r="H27" s="25" t="s">
        <v>32</v>
      </c>
      <c r="I27" s="26" t="s">
        <v>33</v>
      </c>
      <c r="J27" s="26" t="s">
        <v>34</v>
      </c>
      <c r="K27" s="27" t="s">
        <v>55</v>
      </c>
      <c r="L27" s="27" t="s">
        <v>35</v>
      </c>
      <c r="M27" s="28" t="s">
        <v>55</v>
      </c>
      <c r="N27" s="27" t="s">
        <v>204</v>
      </c>
      <c r="O27" s="27" t="s">
        <v>205</v>
      </c>
      <c r="P27" s="29" t="s">
        <v>206</v>
      </c>
      <c r="Q27" s="29" t="s">
        <v>127</v>
      </c>
      <c r="R27" s="29" t="s">
        <v>192</v>
      </c>
      <c r="S27" s="30" t="s">
        <v>207</v>
      </c>
      <c r="T27" s="32" t="str">
        <f t="shared" si="0"/>
        <v>✓ CORRECT</v>
      </c>
    </row>
    <row r="28" spans="1:20" ht="31.5" customHeight="1" x14ac:dyDescent="0.3">
      <c r="A28" s="20">
        <v>25</v>
      </c>
      <c r="B28" s="20" t="s">
        <v>208</v>
      </c>
      <c r="C28" s="21" t="s">
        <v>54</v>
      </c>
      <c r="D28" s="22" t="s">
        <v>44</v>
      </c>
      <c r="E28" s="23" t="s">
        <v>131</v>
      </c>
      <c r="F28" s="24" t="s">
        <v>132</v>
      </c>
      <c r="G28" s="25" t="s">
        <v>133</v>
      </c>
      <c r="H28" s="25" t="s">
        <v>134</v>
      </c>
      <c r="I28" s="26" t="s">
        <v>135</v>
      </c>
      <c r="J28" s="26" t="s">
        <v>136</v>
      </c>
      <c r="K28" s="27" t="s">
        <v>54</v>
      </c>
      <c r="L28" s="27" t="s">
        <v>79</v>
      </c>
      <c r="M28" s="28" t="s">
        <v>44</v>
      </c>
      <c r="N28" s="27" t="s">
        <v>142</v>
      </c>
      <c r="O28" s="27" t="s">
        <v>209</v>
      </c>
      <c r="P28" s="29" t="s">
        <v>210</v>
      </c>
      <c r="Q28" s="29" t="s">
        <v>211</v>
      </c>
      <c r="R28" s="29" t="s">
        <v>121</v>
      </c>
      <c r="S28" s="30" t="s">
        <v>212</v>
      </c>
      <c r="T28" s="31" t="str">
        <f t="shared" si="0"/>
        <v>✓ CORRECT</v>
      </c>
    </row>
    <row r="29" spans="1:20" ht="31.5" customHeight="1" x14ac:dyDescent="0.3">
      <c r="A29" s="20">
        <v>26</v>
      </c>
      <c r="B29" s="20" t="s">
        <v>213</v>
      </c>
      <c r="C29" s="21" t="s">
        <v>43</v>
      </c>
      <c r="D29" s="22" t="s">
        <v>28</v>
      </c>
      <c r="E29" s="23" t="s">
        <v>29</v>
      </c>
      <c r="F29" s="24" t="s">
        <v>30</v>
      </c>
      <c r="G29" s="25" t="s">
        <v>31</v>
      </c>
      <c r="H29" s="25" t="s">
        <v>45</v>
      </c>
      <c r="I29" s="26" t="s">
        <v>46</v>
      </c>
      <c r="J29" s="26" t="s">
        <v>47</v>
      </c>
      <c r="K29" s="27" t="s">
        <v>28</v>
      </c>
      <c r="L29" s="27" t="s">
        <v>35</v>
      </c>
      <c r="M29" s="28" t="s">
        <v>43</v>
      </c>
      <c r="N29" s="27" t="s">
        <v>214</v>
      </c>
      <c r="O29" s="27" t="s">
        <v>215</v>
      </c>
      <c r="P29" s="29" t="s">
        <v>216</v>
      </c>
      <c r="Q29" s="29" t="s">
        <v>217</v>
      </c>
      <c r="R29" s="29" t="s">
        <v>218</v>
      </c>
      <c r="S29" s="30" t="s">
        <v>219</v>
      </c>
      <c r="T29" s="32" t="str">
        <f t="shared" si="0"/>
        <v>✓ CORRECT</v>
      </c>
    </row>
    <row r="30" spans="1:20" ht="31.5" customHeight="1" x14ac:dyDescent="0.3">
      <c r="A30" s="20">
        <v>27</v>
      </c>
      <c r="B30" s="20" t="s">
        <v>220</v>
      </c>
      <c r="C30" s="21" t="s">
        <v>55</v>
      </c>
      <c r="D30" s="22" t="s">
        <v>44</v>
      </c>
      <c r="E30" s="23" t="s">
        <v>29</v>
      </c>
      <c r="F30" s="24" t="s">
        <v>30</v>
      </c>
      <c r="G30" s="25" t="s">
        <v>31</v>
      </c>
      <c r="H30" s="25" t="s">
        <v>99</v>
      </c>
      <c r="I30" s="26" t="s">
        <v>100</v>
      </c>
      <c r="J30" s="26" t="s">
        <v>101</v>
      </c>
      <c r="K30" s="27" t="s">
        <v>44</v>
      </c>
      <c r="L30" s="27" t="s">
        <v>35</v>
      </c>
      <c r="M30" s="28" t="s">
        <v>55</v>
      </c>
      <c r="N30" s="27" t="s">
        <v>221</v>
      </c>
      <c r="O30" s="27" t="s">
        <v>222</v>
      </c>
      <c r="P30" s="29" t="s">
        <v>223</v>
      </c>
      <c r="Q30" s="29" t="s">
        <v>224</v>
      </c>
      <c r="R30" s="29" t="s">
        <v>225</v>
      </c>
      <c r="S30" s="30" t="s">
        <v>226</v>
      </c>
      <c r="T30" s="31" t="str">
        <f t="shared" si="0"/>
        <v>✓ CORRECT</v>
      </c>
    </row>
    <row r="31" spans="1:20" ht="31.5" customHeight="1" x14ac:dyDescent="0.3">
      <c r="A31" s="20">
        <v>28</v>
      </c>
      <c r="B31" s="20" t="s">
        <v>227</v>
      </c>
      <c r="C31" s="21" t="s">
        <v>54</v>
      </c>
      <c r="D31" s="22" t="s">
        <v>43</v>
      </c>
      <c r="E31" s="23" t="s">
        <v>29</v>
      </c>
      <c r="F31" s="24" t="s">
        <v>30</v>
      </c>
      <c r="G31" s="25" t="s">
        <v>31</v>
      </c>
      <c r="H31" s="25" t="s">
        <v>134</v>
      </c>
      <c r="I31" s="26" t="s">
        <v>135</v>
      </c>
      <c r="J31" s="26" t="s">
        <v>136</v>
      </c>
      <c r="K31" s="27" t="s">
        <v>54</v>
      </c>
      <c r="L31" s="27" t="s">
        <v>79</v>
      </c>
      <c r="M31" s="28" t="s">
        <v>43</v>
      </c>
      <c r="N31" s="27" t="s">
        <v>124</v>
      </c>
      <c r="O31" s="27" t="s">
        <v>228</v>
      </c>
      <c r="P31" s="29" t="s">
        <v>229</v>
      </c>
      <c r="Q31" s="29" t="s">
        <v>211</v>
      </c>
      <c r="R31" s="29" t="s">
        <v>90</v>
      </c>
      <c r="S31" s="30" t="s">
        <v>230</v>
      </c>
      <c r="T31" s="32" t="str">
        <f t="shared" si="0"/>
        <v>✓ CORRECT</v>
      </c>
    </row>
    <row r="32" spans="1:20" ht="31.5" customHeight="1" x14ac:dyDescent="0.3">
      <c r="A32" s="20">
        <v>29</v>
      </c>
      <c r="B32" s="20" t="s">
        <v>227</v>
      </c>
      <c r="C32" s="21" t="s">
        <v>27</v>
      </c>
      <c r="D32" s="22" t="s">
        <v>44</v>
      </c>
      <c r="E32" s="23" t="s">
        <v>29</v>
      </c>
      <c r="F32" s="24" t="s">
        <v>30</v>
      </c>
      <c r="G32" s="25" t="s">
        <v>31</v>
      </c>
      <c r="H32" s="25" t="s">
        <v>32</v>
      </c>
      <c r="I32" s="26" t="s">
        <v>33</v>
      </c>
      <c r="J32" s="26" t="s">
        <v>34</v>
      </c>
      <c r="K32" s="27" t="s">
        <v>44</v>
      </c>
      <c r="L32" s="27" t="s">
        <v>35</v>
      </c>
      <c r="M32" s="28" t="s">
        <v>27</v>
      </c>
      <c r="N32" s="27" t="s">
        <v>231</v>
      </c>
      <c r="O32" s="27" t="s">
        <v>232</v>
      </c>
      <c r="P32" s="29" t="s">
        <v>233</v>
      </c>
      <c r="Q32" s="29" t="s">
        <v>234</v>
      </c>
      <c r="R32" s="29" t="s">
        <v>192</v>
      </c>
      <c r="S32" s="30" t="s">
        <v>235</v>
      </c>
      <c r="T32" s="31" t="str">
        <f t="shared" si="0"/>
        <v>✓ CORRECT</v>
      </c>
    </row>
    <row r="33" spans="1:20" ht="31.5" customHeight="1" x14ac:dyDescent="0.3">
      <c r="A33" s="20">
        <v>30</v>
      </c>
      <c r="B33" s="20" t="s">
        <v>236</v>
      </c>
      <c r="C33" s="21" t="s">
        <v>28</v>
      </c>
      <c r="D33" s="22" t="s">
        <v>55</v>
      </c>
      <c r="E33" s="23" t="s">
        <v>29</v>
      </c>
      <c r="F33" s="24" t="s">
        <v>30</v>
      </c>
      <c r="G33" s="25" t="s">
        <v>31</v>
      </c>
      <c r="H33" s="25" t="s">
        <v>76</v>
      </c>
      <c r="I33" s="26" t="s">
        <v>77</v>
      </c>
      <c r="J33" s="26" t="s">
        <v>78</v>
      </c>
      <c r="K33" s="27" t="s">
        <v>55</v>
      </c>
      <c r="L33" s="27" t="s">
        <v>35</v>
      </c>
      <c r="M33" s="28" t="s">
        <v>28</v>
      </c>
      <c r="N33" s="27" t="s">
        <v>69</v>
      </c>
      <c r="O33" s="27" t="s">
        <v>237</v>
      </c>
      <c r="P33" s="29" t="s">
        <v>238</v>
      </c>
      <c r="Q33" s="29" t="s">
        <v>239</v>
      </c>
      <c r="R33" s="29" t="s">
        <v>240</v>
      </c>
      <c r="S33" s="30" t="s">
        <v>241</v>
      </c>
      <c r="T33" s="32" t="str">
        <f t="shared" si="0"/>
        <v>✓ CORRECT</v>
      </c>
    </row>
    <row r="34" spans="1:20" ht="31.5" customHeight="1" x14ac:dyDescent="0.3">
      <c r="A34" s="20">
        <v>31</v>
      </c>
      <c r="B34" s="20" t="s">
        <v>242</v>
      </c>
      <c r="C34" s="21" t="s">
        <v>43</v>
      </c>
      <c r="D34" s="22" t="s">
        <v>28</v>
      </c>
      <c r="E34" s="23" t="s">
        <v>148</v>
      </c>
      <c r="F34" s="24" t="s">
        <v>30</v>
      </c>
      <c r="G34" s="25" t="s">
        <v>149</v>
      </c>
      <c r="H34" s="25" t="s">
        <v>45</v>
      </c>
      <c r="I34" s="26" t="s">
        <v>46</v>
      </c>
      <c r="J34" s="26" t="s">
        <v>47</v>
      </c>
      <c r="K34" s="27" t="s">
        <v>43</v>
      </c>
      <c r="L34" s="27" t="s">
        <v>79</v>
      </c>
      <c r="M34" s="28" t="s">
        <v>43</v>
      </c>
      <c r="N34" s="27" t="s">
        <v>243</v>
      </c>
      <c r="O34" s="27" t="s">
        <v>244</v>
      </c>
      <c r="P34" s="29" t="s">
        <v>216</v>
      </c>
      <c r="Q34" s="29" t="s">
        <v>217</v>
      </c>
      <c r="R34" s="29" t="s">
        <v>52</v>
      </c>
      <c r="S34" s="30" t="s">
        <v>245</v>
      </c>
      <c r="T34" s="31" t="str">
        <f t="shared" si="0"/>
        <v>✓ CORRECT</v>
      </c>
    </row>
    <row r="35" spans="1:20" ht="31.5" customHeight="1" x14ac:dyDescent="0.3">
      <c r="A35" s="20">
        <v>32</v>
      </c>
      <c r="B35" s="20" t="s">
        <v>246</v>
      </c>
      <c r="C35" s="21" t="s">
        <v>55</v>
      </c>
      <c r="D35" s="22" t="s">
        <v>27</v>
      </c>
      <c r="E35" s="23" t="s">
        <v>148</v>
      </c>
      <c r="F35" s="24" t="s">
        <v>30</v>
      </c>
      <c r="G35" s="25" t="s">
        <v>149</v>
      </c>
      <c r="H35" s="25" t="s">
        <v>99</v>
      </c>
      <c r="I35" s="26" t="s">
        <v>100</v>
      </c>
      <c r="J35" s="26" t="s">
        <v>101</v>
      </c>
      <c r="K35" s="27" t="s">
        <v>55</v>
      </c>
      <c r="L35" s="27" t="s">
        <v>79</v>
      </c>
      <c r="M35" s="28" t="s">
        <v>27</v>
      </c>
      <c r="N35" s="27" t="s">
        <v>118</v>
      </c>
      <c r="O35" s="27" t="s">
        <v>247</v>
      </c>
      <c r="P35" s="29" t="s">
        <v>206</v>
      </c>
      <c r="Q35" s="29" t="s">
        <v>127</v>
      </c>
      <c r="R35" s="29" t="s">
        <v>164</v>
      </c>
      <c r="S35" s="30" t="s">
        <v>248</v>
      </c>
      <c r="T35" s="32" t="str">
        <f t="shared" si="0"/>
        <v>✓ CORRECT</v>
      </c>
    </row>
    <row r="36" spans="1:20" ht="31.5" customHeight="1" x14ac:dyDescent="0.3">
      <c r="A36" s="20">
        <v>33</v>
      </c>
      <c r="B36" s="20" t="s">
        <v>249</v>
      </c>
      <c r="C36" s="21" t="s">
        <v>27</v>
      </c>
      <c r="D36" s="22" t="s">
        <v>28</v>
      </c>
      <c r="E36" s="23" t="s">
        <v>148</v>
      </c>
      <c r="F36" s="24" t="s">
        <v>30</v>
      </c>
      <c r="G36" s="25" t="s">
        <v>149</v>
      </c>
      <c r="H36" s="25" t="s">
        <v>32</v>
      </c>
      <c r="I36" s="26" t="s">
        <v>33</v>
      </c>
      <c r="J36" s="26" t="s">
        <v>34</v>
      </c>
      <c r="K36" s="27" t="s">
        <v>27</v>
      </c>
      <c r="L36" s="27" t="s">
        <v>79</v>
      </c>
      <c r="M36" s="28" t="s">
        <v>27</v>
      </c>
      <c r="N36" s="27" t="s">
        <v>250</v>
      </c>
      <c r="O36" s="27" t="s">
        <v>251</v>
      </c>
      <c r="P36" s="29" t="s">
        <v>252</v>
      </c>
      <c r="Q36" s="29" t="s">
        <v>253</v>
      </c>
      <c r="R36" s="29" t="s">
        <v>90</v>
      </c>
      <c r="S36" s="30" t="s">
        <v>254</v>
      </c>
      <c r="T36" s="31" t="str">
        <f t="shared" si="0"/>
        <v>✓ CORRECT</v>
      </c>
    </row>
    <row r="37" spans="1:20" ht="31.5" customHeight="1" x14ac:dyDescent="0.3">
      <c r="A37" s="20">
        <v>34</v>
      </c>
      <c r="B37" s="20" t="s">
        <v>255</v>
      </c>
      <c r="C37" s="21" t="s">
        <v>43</v>
      </c>
      <c r="D37" s="22" t="s">
        <v>27</v>
      </c>
      <c r="E37" s="23" t="s">
        <v>148</v>
      </c>
      <c r="F37" s="24" t="s">
        <v>30</v>
      </c>
      <c r="G37" s="25" t="s">
        <v>149</v>
      </c>
      <c r="H37" s="25" t="s">
        <v>45</v>
      </c>
      <c r="I37" s="26" t="s">
        <v>46</v>
      </c>
      <c r="J37" s="26" t="s">
        <v>47</v>
      </c>
      <c r="K37" s="27" t="s">
        <v>43</v>
      </c>
      <c r="L37" s="27" t="s">
        <v>79</v>
      </c>
      <c r="M37" s="28" t="s">
        <v>27</v>
      </c>
      <c r="N37" s="27" t="s">
        <v>118</v>
      </c>
      <c r="O37" s="27" t="s">
        <v>256</v>
      </c>
      <c r="P37" s="29" t="s">
        <v>257</v>
      </c>
      <c r="Q37" s="29" t="s">
        <v>39</v>
      </c>
      <c r="R37" s="29" t="s">
        <v>201</v>
      </c>
      <c r="S37" s="30" t="s">
        <v>258</v>
      </c>
      <c r="T37" s="32" t="str">
        <f t="shared" si="0"/>
        <v>✓ CORRECT</v>
      </c>
    </row>
    <row r="38" spans="1:20" ht="24" customHeight="1" x14ac:dyDescent="0.3">
      <c r="A38" s="8" t="s">
        <v>259</v>
      </c>
      <c r="B38" s="8"/>
      <c r="C38" s="8"/>
      <c r="D38" s="8"/>
      <c r="E38" s="8"/>
      <c r="T38" s="33" t="str">
        <f>COUNTIF(T4:T37,"✓ CORRECT")&amp;" / "&amp;COUNTA(T4:T37)&amp;" toss calls correct"</f>
        <v>31 / 34 toss calls correct</v>
      </c>
    </row>
    <row r="41" spans="1:20" ht="19.5" customHeight="1" x14ac:dyDescent="0.3">
      <c r="A41" s="34" t="s">
        <v>260</v>
      </c>
      <c r="K41" s="35" t="s">
        <v>261</v>
      </c>
      <c r="P41" s="36" t="s">
        <v>262</v>
      </c>
    </row>
  </sheetData>
  <mergeCells count="6">
    <mergeCell ref="A38:E38"/>
    <mergeCell ref="A1:T1"/>
    <mergeCell ref="A2:E2"/>
    <mergeCell ref="F2:J2"/>
    <mergeCell ref="K2:O2"/>
    <mergeCell ref="P2:S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7"/>
  <sheetViews>
    <sheetView showGridLines="0" tabSelected="1" zoomScaleNormal="100" workbookViewId="0">
      <pane ySplit="3" topLeftCell="A20" activePane="bottomLeft" state="frozen"/>
      <selection pane="bottomLeft" activeCell="K108" sqref="K108"/>
    </sheetView>
  </sheetViews>
  <sheetFormatPr defaultColWidth="8.6640625" defaultRowHeight="14.4" x14ac:dyDescent="0.3"/>
  <cols>
    <col min="1" max="1" width="8" customWidth="1"/>
    <col min="2" max="2" width="12" customWidth="1"/>
    <col min="3" max="3" width="22" customWidth="1"/>
    <col min="4" max="5" width="18" customWidth="1"/>
    <col min="6" max="6" width="29.6640625" customWidth="1"/>
    <col min="7" max="7" width="10" customWidth="1"/>
    <col min="8" max="9" width="16" customWidth="1"/>
    <col min="10" max="10" width="13" customWidth="1"/>
    <col min="11" max="11" width="14" customWidth="1"/>
    <col min="12" max="12" width="12" customWidth="1"/>
  </cols>
  <sheetData>
    <row r="1" spans="1:12" ht="31.5" customHeight="1" x14ac:dyDescent="0.3">
      <c r="A1" s="7" t="s">
        <v>263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15" customHeight="1" x14ac:dyDescent="0.3">
      <c r="A2" s="12" t="s">
        <v>1</v>
      </c>
      <c r="B2" s="12"/>
      <c r="C2" s="12"/>
      <c r="D2" s="12"/>
      <c r="E2" s="12"/>
      <c r="F2" s="6" t="s">
        <v>264</v>
      </c>
      <c r="G2" s="6"/>
      <c r="H2" s="6"/>
      <c r="I2" s="6"/>
      <c r="J2" s="5" t="s">
        <v>265</v>
      </c>
      <c r="K2" s="5"/>
      <c r="L2" s="5"/>
    </row>
    <row r="3" spans="1:12" ht="32.25" customHeight="1" x14ac:dyDescent="0.3">
      <c r="A3" s="15" t="s">
        <v>266</v>
      </c>
      <c r="B3" s="15" t="s">
        <v>7</v>
      </c>
      <c r="C3" s="15" t="s">
        <v>267</v>
      </c>
      <c r="D3" s="15" t="s">
        <v>268</v>
      </c>
      <c r="E3" s="15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7" t="s">
        <v>274</v>
      </c>
      <c r="K3" s="17" t="s">
        <v>275</v>
      </c>
      <c r="L3" s="17" t="s">
        <v>276</v>
      </c>
    </row>
    <row r="4" spans="1:12" ht="21.75" customHeight="1" x14ac:dyDescent="0.3">
      <c r="A4" s="37">
        <v>1</v>
      </c>
      <c r="B4" s="37" t="s">
        <v>26</v>
      </c>
      <c r="C4" s="38" t="s">
        <v>27</v>
      </c>
      <c r="D4" s="27" t="s">
        <v>277</v>
      </c>
      <c r="E4" s="27" t="s">
        <v>278</v>
      </c>
      <c r="F4" s="26" t="s">
        <v>279</v>
      </c>
      <c r="G4" s="26" t="s">
        <v>280</v>
      </c>
      <c r="H4" s="26" t="s">
        <v>281</v>
      </c>
      <c r="I4" s="25" t="s">
        <v>282</v>
      </c>
      <c r="J4" s="39">
        <v>56</v>
      </c>
      <c r="K4" s="39" t="s">
        <v>39</v>
      </c>
      <c r="L4" s="39">
        <v>80</v>
      </c>
    </row>
    <row r="5" spans="1:12" ht="21.75" customHeight="1" x14ac:dyDescent="0.3">
      <c r="A5" s="40">
        <v>1</v>
      </c>
      <c r="B5" s="40" t="s">
        <v>26</v>
      </c>
      <c r="C5" s="41"/>
      <c r="D5" s="27" t="s">
        <v>283</v>
      </c>
      <c r="E5" s="27" t="s">
        <v>284</v>
      </c>
      <c r="F5" s="26" t="s">
        <v>279</v>
      </c>
      <c r="G5" s="26" t="s">
        <v>280</v>
      </c>
      <c r="H5" s="26" t="s">
        <v>281</v>
      </c>
      <c r="I5" s="25" t="s">
        <v>285</v>
      </c>
      <c r="J5" s="39"/>
      <c r="K5" s="39"/>
      <c r="L5" s="39"/>
    </row>
    <row r="6" spans="1:12" ht="21.75" customHeight="1" x14ac:dyDescent="0.3">
      <c r="A6" s="37">
        <v>1</v>
      </c>
      <c r="B6" s="37" t="s">
        <v>26</v>
      </c>
      <c r="C6" s="38"/>
      <c r="D6" s="42" t="s">
        <v>286</v>
      </c>
      <c r="E6" s="42" t="s">
        <v>287</v>
      </c>
      <c r="F6" s="26" t="s">
        <v>279</v>
      </c>
      <c r="G6" s="26" t="s">
        <v>280</v>
      </c>
      <c r="H6" s="26" t="s">
        <v>281</v>
      </c>
      <c r="I6" s="25" t="s">
        <v>288</v>
      </c>
      <c r="J6" s="39">
        <v>43</v>
      </c>
      <c r="K6" s="39" t="s">
        <v>51</v>
      </c>
      <c r="L6" s="39">
        <v>88</v>
      </c>
    </row>
    <row r="7" spans="1:12" ht="21.75" customHeight="1" x14ac:dyDescent="0.3">
      <c r="A7" s="37">
        <v>2</v>
      </c>
      <c r="B7" s="37" t="s">
        <v>42</v>
      </c>
      <c r="C7" s="38" t="s">
        <v>44</v>
      </c>
      <c r="D7" s="27" t="s">
        <v>286</v>
      </c>
      <c r="E7" s="39" t="s">
        <v>289</v>
      </c>
      <c r="F7" s="26" t="s">
        <v>279</v>
      </c>
      <c r="G7" s="26" t="s">
        <v>280</v>
      </c>
      <c r="H7" s="26" t="s">
        <v>281</v>
      </c>
      <c r="I7" s="25" t="s">
        <v>290</v>
      </c>
      <c r="J7" s="39"/>
      <c r="K7" s="39"/>
      <c r="L7" s="39"/>
    </row>
    <row r="8" spans="1:12" ht="21.75" customHeight="1" x14ac:dyDescent="0.3">
      <c r="A8" s="40">
        <v>2</v>
      </c>
      <c r="B8" s="40" t="s">
        <v>42</v>
      </c>
      <c r="C8" s="41"/>
      <c r="D8" s="39" t="s">
        <v>291</v>
      </c>
      <c r="E8" s="39" t="s">
        <v>291</v>
      </c>
      <c r="F8" s="26" t="s">
        <v>279</v>
      </c>
      <c r="G8" s="26" t="s">
        <v>280</v>
      </c>
      <c r="H8" s="26" t="s">
        <v>281</v>
      </c>
      <c r="I8" s="25" t="s">
        <v>292</v>
      </c>
      <c r="J8" s="39"/>
      <c r="K8" s="39"/>
      <c r="L8" s="39"/>
    </row>
    <row r="9" spans="1:12" ht="21.75" customHeight="1" x14ac:dyDescent="0.3">
      <c r="A9" s="37">
        <v>2</v>
      </c>
      <c r="B9" s="37" t="s">
        <v>42</v>
      </c>
      <c r="C9" s="38"/>
      <c r="D9" s="42" t="s">
        <v>293</v>
      </c>
      <c r="E9" s="42" t="s">
        <v>294</v>
      </c>
      <c r="F9" s="26" t="s">
        <v>279</v>
      </c>
      <c r="G9" s="26" t="s">
        <v>280</v>
      </c>
      <c r="H9" s="26" t="s">
        <v>281</v>
      </c>
      <c r="I9" s="25" t="s">
        <v>295</v>
      </c>
      <c r="J9" s="39">
        <v>68</v>
      </c>
      <c r="K9" s="39" t="s">
        <v>65</v>
      </c>
      <c r="L9" s="39">
        <v>142</v>
      </c>
    </row>
    <row r="10" spans="1:12" ht="21.75" customHeight="1" x14ac:dyDescent="0.3">
      <c r="A10" s="37">
        <v>3</v>
      </c>
      <c r="B10" s="37" t="s">
        <v>68</v>
      </c>
      <c r="C10" s="38" t="s">
        <v>43</v>
      </c>
      <c r="D10" s="27" t="s">
        <v>296</v>
      </c>
      <c r="E10" s="27" t="s">
        <v>293</v>
      </c>
      <c r="F10" s="26" t="s">
        <v>279</v>
      </c>
      <c r="G10" s="26" t="s">
        <v>280</v>
      </c>
      <c r="H10" s="26" t="s">
        <v>281</v>
      </c>
      <c r="I10" s="25" t="s">
        <v>297</v>
      </c>
      <c r="J10" s="39"/>
      <c r="K10" s="39"/>
      <c r="L10" s="39"/>
    </row>
    <row r="11" spans="1:12" ht="21.75" customHeight="1" x14ac:dyDescent="0.3">
      <c r="A11" s="40">
        <v>3</v>
      </c>
      <c r="B11" s="40" t="s">
        <v>68</v>
      </c>
      <c r="C11" s="41"/>
      <c r="D11" s="39" t="s">
        <v>291</v>
      </c>
      <c r="E11" s="39" t="s">
        <v>291</v>
      </c>
      <c r="F11" s="26" t="s">
        <v>279</v>
      </c>
      <c r="G11" s="26" t="s">
        <v>280</v>
      </c>
      <c r="H11" s="26" t="s">
        <v>281</v>
      </c>
      <c r="I11" s="25" t="s">
        <v>298</v>
      </c>
      <c r="J11" s="39"/>
      <c r="K11" s="39"/>
      <c r="L11" s="39"/>
    </row>
    <row r="12" spans="1:12" ht="21.75" customHeight="1" x14ac:dyDescent="0.3">
      <c r="A12" s="37">
        <v>3</v>
      </c>
      <c r="B12" s="37" t="s">
        <v>68</v>
      </c>
      <c r="C12" s="38"/>
      <c r="D12" s="42" t="s">
        <v>299</v>
      </c>
      <c r="E12" s="42" t="s">
        <v>300</v>
      </c>
      <c r="F12" s="26" t="s">
        <v>279</v>
      </c>
      <c r="G12" s="26" t="s">
        <v>280</v>
      </c>
      <c r="H12" s="26" t="s">
        <v>281</v>
      </c>
      <c r="I12" s="26" t="s">
        <v>301</v>
      </c>
      <c r="J12" s="39">
        <v>42</v>
      </c>
      <c r="K12" s="39" t="s">
        <v>72</v>
      </c>
      <c r="L12" s="39">
        <v>80</v>
      </c>
    </row>
    <row r="13" spans="1:12" ht="21.75" customHeight="1" x14ac:dyDescent="0.3">
      <c r="A13" s="37">
        <v>4</v>
      </c>
      <c r="B13" s="37" t="s">
        <v>75</v>
      </c>
      <c r="C13" s="38" t="s">
        <v>28</v>
      </c>
      <c r="D13" s="39" t="s">
        <v>291</v>
      </c>
      <c r="E13" s="39" t="s">
        <v>291</v>
      </c>
      <c r="F13" s="26" t="s">
        <v>279</v>
      </c>
      <c r="G13" s="26" t="s">
        <v>280</v>
      </c>
      <c r="H13" s="26" t="s">
        <v>281</v>
      </c>
      <c r="I13" s="25" t="s">
        <v>282</v>
      </c>
      <c r="J13" s="39"/>
      <c r="K13" s="39"/>
      <c r="L13" s="39"/>
    </row>
    <row r="14" spans="1:12" ht="21.75" customHeight="1" x14ac:dyDescent="0.3">
      <c r="A14" s="40">
        <v>4</v>
      </c>
      <c r="B14" s="40" t="s">
        <v>75</v>
      </c>
      <c r="C14" s="41"/>
      <c r="D14" s="39" t="s">
        <v>291</v>
      </c>
      <c r="E14" s="39" t="s">
        <v>291</v>
      </c>
      <c r="F14" s="26" t="s">
        <v>279</v>
      </c>
      <c r="G14" s="26" t="s">
        <v>280</v>
      </c>
      <c r="H14" s="26" t="s">
        <v>281</v>
      </c>
      <c r="I14" s="25" t="s">
        <v>302</v>
      </c>
      <c r="J14" s="39"/>
      <c r="K14" s="39"/>
      <c r="L14" s="39"/>
    </row>
    <row r="15" spans="1:12" ht="21.75" customHeight="1" x14ac:dyDescent="0.3">
      <c r="A15" s="37">
        <v>4</v>
      </c>
      <c r="B15" s="37" t="s">
        <v>75</v>
      </c>
      <c r="C15" s="38"/>
      <c r="D15" s="42" t="s">
        <v>303</v>
      </c>
      <c r="E15" s="42" t="s">
        <v>304</v>
      </c>
      <c r="F15" s="26" t="s">
        <v>279</v>
      </c>
      <c r="G15" s="26" t="s">
        <v>280</v>
      </c>
      <c r="H15" s="26" t="s">
        <v>281</v>
      </c>
      <c r="I15" s="26" t="s">
        <v>301</v>
      </c>
      <c r="J15" s="39">
        <v>29</v>
      </c>
      <c r="K15" s="39" t="s">
        <v>96</v>
      </c>
      <c r="L15" s="39">
        <v>45</v>
      </c>
    </row>
    <row r="16" spans="1:12" ht="21.75" customHeight="1" x14ac:dyDescent="0.3">
      <c r="A16" s="37">
        <v>5</v>
      </c>
      <c r="B16" s="37" t="s">
        <v>85</v>
      </c>
      <c r="C16" s="38" t="s">
        <v>27</v>
      </c>
      <c r="D16" s="42" t="s">
        <v>283</v>
      </c>
      <c r="E16" s="42" t="s">
        <v>284</v>
      </c>
      <c r="F16" s="26" t="s">
        <v>279</v>
      </c>
      <c r="G16" s="26" t="s">
        <v>280</v>
      </c>
      <c r="H16" s="26" t="s">
        <v>281</v>
      </c>
      <c r="I16" s="25" t="s">
        <v>305</v>
      </c>
      <c r="J16" s="39">
        <v>72</v>
      </c>
      <c r="K16" s="39" t="s">
        <v>83</v>
      </c>
      <c r="L16" s="39">
        <v>144</v>
      </c>
    </row>
    <row r="17" spans="1:12" ht="21.75" customHeight="1" x14ac:dyDescent="0.3">
      <c r="A17" s="40">
        <v>5</v>
      </c>
      <c r="B17" s="40" t="s">
        <v>85</v>
      </c>
      <c r="C17" s="41"/>
      <c r="D17" s="27" t="s">
        <v>283</v>
      </c>
      <c r="E17" s="27" t="s">
        <v>284</v>
      </c>
      <c r="F17" s="26" t="s">
        <v>279</v>
      </c>
      <c r="G17" s="26" t="s">
        <v>280</v>
      </c>
      <c r="H17" s="26" t="s">
        <v>281</v>
      </c>
      <c r="I17" s="25" t="s">
        <v>305</v>
      </c>
      <c r="J17" s="39"/>
      <c r="K17" s="39"/>
      <c r="L17" s="39"/>
    </row>
    <row r="18" spans="1:12" ht="21.75" customHeight="1" x14ac:dyDescent="0.3">
      <c r="A18" s="37">
        <v>5</v>
      </c>
      <c r="B18" s="37" t="s">
        <v>85</v>
      </c>
      <c r="C18" s="38"/>
      <c r="D18" s="42" t="s">
        <v>300</v>
      </c>
      <c r="E18" s="42" t="s">
        <v>277</v>
      </c>
      <c r="F18" s="26" t="s">
        <v>279</v>
      </c>
      <c r="G18" s="26" t="s">
        <v>280</v>
      </c>
      <c r="H18" s="26" t="s">
        <v>281</v>
      </c>
      <c r="I18" s="25" t="s">
        <v>292</v>
      </c>
      <c r="J18" s="39"/>
      <c r="K18" s="39"/>
      <c r="L18" s="39"/>
    </row>
    <row r="19" spans="1:12" ht="21.75" customHeight="1" x14ac:dyDescent="0.3">
      <c r="A19" s="37">
        <v>6</v>
      </c>
      <c r="B19" s="37" t="s">
        <v>92</v>
      </c>
      <c r="C19" s="38" t="s">
        <v>55</v>
      </c>
      <c r="D19" s="42" t="s">
        <v>306</v>
      </c>
      <c r="E19" s="42" t="s">
        <v>300</v>
      </c>
      <c r="F19" s="26" t="s">
        <v>279</v>
      </c>
      <c r="G19" s="26" t="s">
        <v>280</v>
      </c>
      <c r="H19" s="26" t="s">
        <v>281</v>
      </c>
      <c r="I19" s="25" t="s">
        <v>282</v>
      </c>
      <c r="J19" s="39">
        <v>70</v>
      </c>
      <c r="K19" s="39" t="s">
        <v>89</v>
      </c>
      <c r="L19" s="39">
        <v>125</v>
      </c>
    </row>
    <row r="20" spans="1:12" ht="21.75" customHeight="1" x14ac:dyDescent="0.3">
      <c r="A20" s="40">
        <v>6</v>
      </c>
      <c r="B20" s="40" t="s">
        <v>92</v>
      </c>
      <c r="C20" s="41"/>
      <c r="D20" s="27" t="s">
        <v>307</v>
      </c>
      <c r="E20" s="27" t="s">
        <v>300</v>
      </c>
      <c r="F20" s="26" t="s">
        <v>279</v>
      </c>
      <c r="G20" s="26" t="s">
        <v>280</v>
      </c>
      <c r="H20" s="26" t="s">
        <v>281</v>
      </c>
      <c r="I20" s="25" t="s">
        <v>308</v>
      </c>
      <c r="J20" s="39"/>
      <c r="K20" s="39"/>
      <c r="L20" s="39"/>
    </row>
    <row r="21" spans="1:12" ht="21.75" customHeight="1" x14ac:dyDescent="0.3">
      <c r="A21" s="37">
        <v>6</v>
      </c>
      <c r="B21" s="37" t="s">
        <v>92</v>
      </c>
      <c r="C21" s="38"/>
      <c r="D21" s="42" t="s">
        <v>304</v>
      </c>
      <c r="E21" s="42" t="s">
        <v>303</v>
      </c>
      <c r="F21" s="26" t="s">
        <v>279</v>
      </c>
      <c r="G21" s="26" t="s">
        <v>280</v>
      </c>
      <c r="H21" s="26" t="s">
        <v>281</v>
      </c>
      <c r="I21" s="25" t="s">
        <v>298</v>
      </c>
      <c r="J21" s="39">
        <v>29</v>
      </c>
      <c r="K21" s="39" t="s">
        <v>96</v>
      </c>
      <c r="L21" s="39">
        <v>45</v>
      </c>
    </row>
    <row r="22" spans="1:12" ht="21.75" customHeight="1" x14ac:dyDescent="0.3">
      <c r="A22" s="37">
        <v>7</v>
      </c>
      <c r="B22" s="37" t="s">
        <v>309</v>
      </c>
      <c r="C22" s="38" t="s">
        <v>44</v>
      </c>
      <c r="D22" s="39" t="s">
        <v>291</v>
      </c>
      <c r="E22" s="39" t="s">
        <v>291</v>
      </c>
      <c r="F22" s="26" t="s">
        <v>279</v>
      </c>
      <c r="G22" s="26" t="s">
        <v>280</v>
      </c>
      <c r="H22" s="26" t="s">
        <v>281</v>
      </c>
      <c r="I22" s="25" t="s">
        <v>305</v>
      </c>
      <c r="J22" s="39"/>
      <c r="K22" s="39"/>
      <c r="L22" s="39"/>
    </row>
    <row r="23" spans="1:12" ht="21.75" customHeight="1" x14ac:dyDescent="0.3">
      <c r="A23" s="40">
        <v>7</v>
      </c>
      <c r="B23" s="40" t="s">
        <v>309</v>
      </c>
      <c r="C23" s="41"/>
      <c r="D23" s="39" t="s">
        <v>291</v>
      </c>
      <c r="E23" s="39" t="s">
        <v>291</v>
      </c>
      <c r="F23" s="26" t="s">
        <v>279</v>
      </c>
      <c r="G23" s="26" t="s">
        <v>280</v>
      </c>
      <c r="H23" s="26" t="s">
        <v>281</v>
      </c>
      <c r="I23" s="25" t="s">
        <v>310</v>
      </c>
      <c r="J23" s="39"/>
      <c r="K23" s="39"/>
      <c r="L23" s="39"/>
    </row>
    <row r="24" spans="1:12" ht="21.75" customHeight="1" x14ac:dyDescent="0.3">
      <c r="A24" s="37">
        <v>7</v>
      </c>
      <c r="B24" s="37" t="s">
        <v>309</v>
      </c>
      <c r="C24" s="38"/>
      <c r="D24" s="42" t="s">
        <v>296</v>
      </c>
      <c r="E24" s="42" t="s">
        <v>311</v>
      </c>
      <c r="F24" s="26" t="s">
        <v>279</v>
      </c>
      <c r="G24" s="26" t="s">
        <v>280</v>
      </c>
      <c r="H24" s="26" t="s">
        <v>281</v>
      </c>
      <c r="I24" s="26" t="s">
        <v>301</v>
      </c>
      <c r="J24" s="39">
        <v>34</v>
      </c>
      <c r="K24" s="39" t="s">
        <v>105</v>
      </c>
      <c r="L24" s="39">
        <v>60</v>
      </c>
    </row>
    <row r="25" spans="1:12" ht="21.75" customHeight="1" x14ac:dyDescent="0.3">
      <c r="A25" s="37">
        <v>8</v>
      </c>
      <c r="B25" s="37" t="s">
        <v>98</v>
      </c>
      <c r="C25" s="38" t="s">
        <v>54</v>
      </c>
      <c r="D25" s="39" t="s">
        <v>291</v>
      </c>
      <c r="E25" s="39" t="s">
        <v>291</v>
      </c>
      <c r="F25" s="26" t="s">
        <v>279</v>
      </c>
      <c r="G25" s="26" t="s">
        <v>280</v>
      </c>
      <c r="H25" s="26" t="s">
        <v>281</v>
      </c>
      <c r="I25" s="25" t="s">
        <v>312</v>
      </c>
      <c r="J25" s="39"/>
      <c r="K25" s="39"/>
      <c r="L25" s="39"/>
    </row>
    <row r="26" spans="1:12" ht="21.75" customHeight="1" x14ac:dyDescent="0.3">
      <c r="A26" s="40">
        <v>8</v>
      </c>
      <c r="B26" s="40" t="s">
        <v>98</v>
      </c>
      <c r="C26" s="41"/>
      <c r="D26" s="39" t="s">
        <v>291</v>
      </c>
      <c r="E26" s="39" t="s">
        <v>291</v>
      </c>
      <c r="F26" s="26" t="s">
        <v>279</v>
      </c>
      <c r="G26" s="26" t="s">
        <v>280</v>
      </c>
      <c r="H26" s="26" t="s">
        <v>281</v>
      </c>
      <c r="I26" s="25" t="s">
        <v>292</v>
      </c>
      <c r="J26" s="39"/>
      <c r="K26" s="39"/>
      <c r="L26" s="39"/>
    </row>
    <row r="27" spans="1:12" ht="21.75" customHeight="1" x14ac:dyDescent="0.3">
      <c r="A27" s="37">
        <v>8</v>
      </c>
      <c r="B27" s="37" t="s">
        <v>98</v>
      </c>
      <c r="C27" s="38"/>
      <c r="D27" s="42" t="s">
        <v>313</v>
      </c>
      <c r="E27" s="42" t="s">
        <v>314</v>
      </c>
      <c r="F27" s="26" t="s">
        <v>279</v>
      </c>
      <c r="G27" s="26" t="s">
        <v>280</v>
      </c>
      <c r="H27" s="26" t="s">
        <v>281</v>
      </c>
      <c r="I27" s="26" t="s">
        <v>301</v>
      </c>
      <c r="J27" s="39"/>
      <c r="K27" s="39"/>
      <c r="L27" s="39"/>
    </row>
    <row r="28" spans="1:12" ht="21.75" customHeight="1" x14ac:dyDescent="0.3">
      <c r="A28" s="37">
        <v>9</v>
      </c>
      <c r="B28" s="37" t="s">
        <v>108</v>
      </c>
      <c r="C28" s="38" t="s">
        <v>28</v>
      </c>
      <c r="D28" s="42" t="s">
        <v>315</v>
      </c>
      <c r="E28" s="42" t="s">
        <v>316</v>
      </c>
      <c r="F28" s="26" t="s">
        <v>279</v>
      </c>
      <c r="G28" s="26" t="s">
        <v>280</v>
      </c>
      <c r="H28" s="26" t="s">
        <v>281</v>
      </c>
      <c r="I28" s="25" t="s">
        <v>317</v>
      </c>
      <c r="J28" s="39">
        <v>33</v>
      </c>
      <c r="K28" s="39" t="s">
        <v>115</v>
      </c>
      <c r="L28" s="39">
        <v>79</v>
      </c>
    </row>
    <row r="29" spans="1:12" ht="21.75" customHeight="1" x14ac:dyDescent="0.3">
      <c r="A29" s="40">
        <v>9</v>
      </c>
      <c r="B29" s="40" t="s">
        <v>108</v>
      </c>
      <c r="C29" s="41"/>
      <c r="D29" s="39" t="s">
        <v>291</v>
      </c>
      <c r="E29" s="39" t="s">
        <v>291</v>
      </c>
      <c r="F29" s="26" t="s">
        <v>279</v>
      </c>
      <c r="G29" s="26" t="s">
        <v>280</v>
      </c>
      <c r="H29" s="26" t="s">
        <v>281</v>
      </c>
      <c r="I29" s="25" t="s">
        <v>310</v>
      </c>
      <c r="J29" s="39"/>
      <c r="K29" s="39"/>
      <c r="L29" s="39"/>
    </row>
    <row r="30" spans="1:12" ht="21.75" customHeight="1" x14ac:dyDescent="0.3">
      <c r="A30" s="37">
        <v>9</v>
      </c>
      <c r="B30" s="37" t="s">
        <v>108</v>
      </c>
      <c r="C30" s="38"/>
      <c r="D30" s="42" t="s">
        <v>318</v>
      </c>
      <c r="E30" s="42" t="s">
        <v>319</v>
      </c>
      <c r="F30" s="26" t="s">
        <v>279</v>
      </c>
      <c r="G30" s="26" t="s">
        <v>280</v>
      </c>
      <c r="H30" s="26" t="s">
        <v>281</v>
      </c>
      <c r="I30" s="26" t="s">
        <v>301</v>
      </c>
      <c r="J30" s="39">
        <v>52</v>
      </c>
      <c r="K30" s="39" t="s">
        <v>89</v>
      </c>
      <c r="L30" s="39">
        <v>65</v>
      </c>
    </row>
    <row r="31" spans="1:12" ht="21.75" customHeight="1" x14ac:dyDescent="0.3">
      <c r="A31" s="37">
        <v>10</v>
      </c>
      <c r="B31" s="37" t="s">
        <v>117</v>
      </c>
      <c r="C31" s="38" t="s">
        <v>55</v>
      </c>
      <c r="D31" s="39" t="s">
        <v>291</v>
      </c>
      <c r="E31" s="39" t="s">
        <v>291</v>
      </c>
      <c r="F31" s="26" t="s">
        <v>279</v>
      </c>
      <c r="G31" s="26" t="s">
        <v>280</v>
      </c>
      <c r="H31" s="26" t="s">
        <v>281</v>
      </c>
      <c r="I31" s="25" t="s">
        <v>312</v>
      </c>
      <c r="J31" s="39"/>
      <c r="K31" s="39"/>
      <c r="L31" s="39"/>
    </row>
    <row r="32" spans="1:12" ht="21.75" customHeight="1" x14ac:dyDescent="0.3">
      <c r="A32" s="40">
        <v>10</v>
      </c>
      <c r="B32" s="40" t="s">
        <v>117</v>
      </c>
      <c r="C32" s="41"/>
      <c r="D32" s="39" t="s">
        <v>291</v>
      </c>
      <c r="E32" s="39" t="s">
        <v>291</v>
      </c>
      <c r="F32" s="26" t="s">
        <v>279</v>
      </c>
      <c r="G32" s="26" t="s">
        <v>280</v>
      </c>
      <c r="H32" s="26" t="s">
        <v>281</v>
      </c>
      <c r="I32" s="25" t="s">
        <v>320</v>
      </c>
      <c r="J32" s="39"/>
      <c r="K32" s="39"/>
      <c r="L32" s="39"/>
    </row>
    <row r="33" spans="1:12" ht="21.75" customHeight="1" x14ac:dyDescent="0.3">
      <c r="A33" s="37">
        <v>10</v>
      </c>
      <c r="B33" s="37" t="s">
        <v>117</v>
      </c>
      <c r="C33" s="38"/>
      <c r="D33" s="42" t="s">
        <v>321</v>
      </c>
      <c r="E33" s="42" t="s">
        <v>316</v>
      </c>
      <c r="F33" s="26" t="s">
        <v>279</v>
      </c>
      <c r="G33" s="26" t="s">
        <v>280</v>
      </c>
      <c r="H33" s="26" t="s">
        <v>281</v>
      </c>
      <c r="I33" s="26" t="s">
        <v>301</v>
      </c>
      <c r="J33" s="39">
        <v>27</v>
      </c>
      <c r="K33" s="39" t="s">
        <v>127</v>
      </c>
      <c r="L33" s="39">
        <v>37</v>
      </c>
    </row>
    <row r="34" spans="1:12" ht="21.75" customHeight="1" x14ac:dyDescent="0.3">
      <c r="A34" s="37">
        <v>11</v>
      </c>
      <c r="B34" s="37" t="s">
        <v>123</v>
      </c>
      <c r="C34" s="38" t="s">
        <v>54</v>
      </c>
      <c r="D34" s="39" t="s">
        <v>291</v>
      </c>
      <c r="E34" s="39" t="s">
        <v>291</v>
      </c>
      <c r="F34" s="26" t="s">
        <v>279</v>
      </c>
      <c r="G34" s="26" t="s">
        <v>280</v>
      </c>
      <c r="H34" s="26" t="s">
        <v>281</v>
      </c>
      <c r="I34" s="25" t="s">
        <v>317</v>
      </c>
      <c r="J34" s="39"/>
      <c r="K34" s="39"/>
      <c r="L34" s="39"/>
    </row>
    <row r="35" spans="1:12" ht="21.75" customHeight="1" x14ac:dyDescent="0.3">
      <c r="A35" s="40">
        <v>11</v>
      </c>
      <c r="B35" s="40" t="s">
        <v>123</v>
      </c>
      <c r="C35" s="41"/>
      <c r="D35" s="39" t="s">
        <v>291</v>
      </c>
      <c r="E35" s="39" t="s">
        <v>291</v>
      </c>
      <c r="F35" s="26" t="s">
        <v>279</v>
      </c>
      <c r="G35" s="26" t="s">
        <v>280</v>
      </c>
      <c r="H35" s="26" t="s">
        <v>281</v>
      </c>
      <c r="I35" s="25" t="s">
        <v>298</v>
      </c>
      <c r="J35" s="39"/>
      <c r="K35" s="39"/>
      <c r="L35" s="39"/>
    </row>
    <row r="36" spans="1:12" ht="21.75" customHeight="1" x14ac:dyDescent="0.3">
      <c r="A36" s="37">
        <v>11</v>
      </c>
      <c r="B36" s="37" t="s">
        <v>123</v>
      </c>
      <c r="C36" s="38"/>
      <c r="D36" s="42" t="s">
        <v>322</v>
      </c>
      <c r="E36" s="42" t="s">
        <v>323</v>
      </c>
      <c r="F36" s="26" t="s">
        <v>279</v>
      </c>
      <c r="G36" s="26" t="s">
        <v>280</v>
      </c>
      <c r="H36" s="26" t="s">
        <v>281</v>
      </c>
      <c r="I36" s="26" t="s">
        <v>301</v>
      </c>
      <c r="J36" s="39">
        <v>40</v>
      </c>
      <c r="K36" s="39" t="s">
        <v>324</v>
      </c>
      <c r="L36" s="39">
        <v>51</v>
      </c>
    </row>
    <row r="37" spans="1:12" ht="21.75" customHeight="1" x14ac:dyDescent="0.3">
      <c r="A37" s="37">
        <v>12</v>
      </c>
      <c r="B37" s="37" t="s">
        <v>130</v>
      </c>
      <c r="C37" s="38" t="s">
        <v>27</v>
      </c>
      <c r="D37" s="42" t="s">
        <v>322</v>
      </c>
      <c r="E37" s="42" t="s">
        <v>325</v>
      </c>
      <c r="F37" s="26" t="s">
        <v>279</v>
      </c>
      <c r="G37" s="26" t="s">
        <v>280</v>
      </c>
      <c r="H37" s="26" t="s">
        <v>281</v>
      </c>
      <c r="I37" s="25" t="s">
        <v>326</v>
      </c>
      <c r="J37" s="39">
        <v>41</v>
      </c>
      <c r="K37" s="39" t="s">
        <v>65</v>
      </c>
      <c r="L37" s="39">
        <v>65</v>
      </c>
    </row>
    <row r="38" spans="1:12" ht="21.75" customHeight="1" x14ac:dyDescent="0.3">
      <c r="A38" s="40">
        <v>12</v>
      </c>
      <c r="B38" s="40" t="s">
        <v>130</v>
      </c>
      <c r="C38" s="41"/>
      <c r="D38" s="42" t="s">
        <v>278</v>
      </c>
      <c r="E38" s="42" t="s">
        <v>327</v>
      </c>
      <c r="F38" s="26" t="s">
        <v>279</v>
      </c>
      <c r="G38" s="26" t="s">
        <v>280</v>
      </c>
      <c r="H38" s="26" t="s">
        <v>281</v>
      </c>
      <c r="I38" s="25" t="s">
        <v>328</v>
      </c>
      <c r="J38" s="39">
        <v>22</v>
      </c>
      <c r="K38" s="39" t="s">
        <v>115</v>
      </c>
      <c r="L38" s="39">
        <v>38</v>
      </c>
    </row>
    <row r="39" spans="1:12" ht="21.75" customHeight="1" x14ac:dyDescent="0.3">
      <c r="A39" s="37">
        <v>12</v>
      </c>
      <c r="B39" s="37" t="s">
        <v>130</v>
      </c>
      <c r="C39" s="38"/>
      <c r="D39" s="42" t="s">
        <v>322</v>
      </c>
      <c r="E39" s="42" t="s">
        <v>323</v>
      </c>
      <c r="F39" s="26" t="s">
        <v>279</v>
      </c>
      <c r="G39" s="26" t="s">
        <v>280</v>
      </c>
      <c r="H39" s="26" t="s">
        <v>281</v>
      </c>
      <c r="I39" s="25" t="s">
        <v>329</v>
      </c>
      <c r="J39" s="39">
        <v>40</v>
      </c>
      <c r="K39" s="39" t="s">
        <v>330</v>
      </c>
      <c r="L39" s="39">
        <v>51</v>
      </c>
    </row>
    <row r="40" spans="1:12" ht="21.75" customHeight="1" x14ac:dyDescent="0.3">
      <c r="A40" s="37">
        <v>13</v>
      </c>
      <c r="B40" s="37" t="s">
        <v>141</v>
      </c>
      <c r="C40" s="38" t="s">
        <v>44</v>
      </c>
      <c r="D40" s="42" t="s">
        <v>283</v>
      </c>
      <c r="E40" s="42" t="s">
        <v>303</v>
      </c>
      <c r="F40" s="26" t="s">
        <v>279</v>
      </c>
      <c r="G40" s="26" t="s">
        <v>280</v>
      </c>
      <c r="H40" s="26" t="s">
        <v>281</v>
      </c>
      <c r="I40" s="25" t="s">
        <v>328</v>
      </c>
      <c r="J40" s="39">
        <v>48</v>
      </c>
      <c r="K40" s="39" t="s">
        <v>331</v>
      </c>
      <c r="L40" s="39">
        <v>81</v>
      </c>
    </row>
    <row r="41" spans="1:12" ht="21.75" customHeight="1" x14ac:dyDescent="0.3">
      <c r="A41" s="40">
        <v>13</v>
      </c>
      <c r="B41" s="40" t="s">
        <v>141</v>
      </c>
      <c r="C41" s="41"/>
      <c r="D41" s="42" t="s">
        <v>332</v>
      </c>
      <c r="E41" s="42" t="s">
        <v>303</v>
      </c>
      <c r="F41" s="26" t="s">
        <v>279</v>
      </c>
      <c r="G41" s="26" t="s">
        <v>280</v>
      </c>
      <c r="H41" s="26" t="s">
        <v>281</v>
      </c>
      <c r="I41" s="25" t="s">
        <v>302</v>
      </c>
      <c r="J41" s="39">
        <v>39</v>
      </c>
      <c r="K41" s="39" t="s">
        <v>333</v>
      </c>
      <c r="L41" s="39">
        <v>55</v>
      </c>
    </row>
    <row r="42" spans="1:12" ht="21.75" customHeight="1" x14ac:dyDescent="0.3">
      <c r="A42" s="37">
        <v>13</v>
      </c>
      <c r="B42" s="37" t="s">
        <v>141</v>
      </c>
      <c r="C42" s="38"/>
      <c r="D42" s="42" t="s">
        <v>314</v>
      </c>
      <c r="E42" s="42" t="s">
        <v>321</v>
      </c>
      <c r="F42" s="26" t="s">
        <v>279</v>
      </c>
      <c r="G42" s="26" t="s">
        <v>280</v>
      </c>
      <c r="H42" s="26" t="s">
        <v>281</v>
      </c>
      <c r="I42" s="26" t="s">
        <v>301</v>
      </c>
      <c r="J42" s="39">
        <v>70</v>
      </c>
      <c r="K42" s="39" t="s">
        <v>39</v>
      </c>
      <c r="L42" s="39">
        <v>93</v>
      </c>
    </row>
    <row r="43" spans="1:12" ht="21.75" customHeight="1" x14ac:dyDescent="0.3">
      <c r="A43" s="37">
        <v>14</v>
      </c>
      <c r="B43" s="37" t="s">
        <v>147</v>
      </c>
      <c r="C43" s="38" t="s">
        <v>28</v>
      </c>
      <c r="D43" s="42" t="s">
        <v>278</v>
      </c>
      <c r="E43" s="42" t="s">
        <v>334</v>
      </c>
      <c r="F43" s="26" t="s">
        <v>279</v>
      </c>
      <c r="G43" s="26" t="s">
        <v>280</v>
      </c>
      <c r="H43" s="26" t="s">
        <v>281</v>
      </c>
      <c r="I43" s="25" t="s">
        <v>335</v>
      </c>
      <c r="J43" s="39">
        <v>10</v>
      </c>
      <c r="K43" s="39" t="s">
        <v>336</v>
      </c>
      <c r="L43" s="39">
        <v>16</v>
      </c>
    </row>
    <row r="44" spans="1:12" ht="21.75" customHeight="1" x14ac:dyDescent="0.3">
      <c r="A44" s="40">
        <v>14</v>
      </c>
      <c r="B44" s="40" t="s">
        <v>147</v>
      </c>
      <c r="C44" s="41"/>
      <c r="D44" s="27" t="s">
        <v>278</v>
      </c>
      <c r="E44" s="39" t="s">
        <v>291</v>
      </c>
      <c r="F44" s="26" t="s">
        <v>279</v>
      </c>
      <c r="G44" s="26" t="s">
        <v>280</v>
      </c>
      <c r="H44" s="26" t="s">
        <v>281</v>
      </c>
      <c r="I44" s="25" t="s">
        <v>282</v>
      </c>
      <c r="J44" s="39"/>
      <c r="K44" s="39"/>
      <c r="L44" s="39"/>
    </row>
    <row r="45" spans="1:12" ht="21.75" customHeight="1" x14ac:dyDescent="0.3">
      <c r="A45" s="37">
        <v>14</v>
      </c>
      <c r="B45" s="37" t="s">
        <v>147</v>
      </c>
      <c r="C45" s="38"/>
      <c r="D45" s="42" t="s">
        <v>293</v>
      </c>
      <c r="E45" s="42" t="s">
        <v>311</v>
      </c>
      <c r="F45" s="26" t="s">
        <v>279</v>
      </c>
      <c r="G45" s="26" t="s">
        <v>280</v>
      </c>
      <c r="H45" s="26" t="s">
        <v>281</v>
      </c>
      <c r="I45" s="26" t="s">
        <v>301</v>
      </c>
      <c r="J45" s="39">
        <v>49</v>
      </c>
      <c r="K45" s="39" t="s">
        <v>157</v>
      </c>
      <c r="L45" s="39">
        <v>73</v>
      </c>
    </row>
    <row r="46" spans="1:12" ht="21.75" customHeight="1" x14ac:dyDescent="0.3">
      <c r="A46" s="37">
        <v>15</v>
      </c>
      <c r="B46" s="37" t="s">
        <v>153</v>
      </c>
      <c r="C46" s="38" t="s">
        <v>43</v>
      </c>
      <c r="D46" s="42" t="s">
        <v>337</v>
      </c>
      <c r="E46" s="42" t="s">
        <v>338</v>
      </c>
      <c r="F46" s="26" t="s">
        <v>279</v>
      </c>
      <c r="G46" s="26" t="s">
        <v>280</v>
      </c>
      <c r="H46" s="26" t="s">
        <v>281</v>
      </c>
      <c r="I46" s="25" t="s">
        <v>312</v>
      </c>
      <c r="J46" s="39">
        <v>47</v>
      </c>
      <c r="K46" s="39" t="s">
        <v>89</v>
      </c>
      <c r="L46" s="39">
        <v>59</v>
      </c>
    </row>
    <row r="47" spans="1:12" ht="21.75" customHeight="1" x14ac:dyDescent="0.3">
      <c r="A47" s="40">
        <v>15</v>
      </c>
      <c r="B47" s="40" t="s">
        <v>153</v>
      </c>
      <c r="C47" s="41"/>
      <c r="D47" s="42" t="s">
        <v>293</v>
      </c>
      <c r="E47" s="42" t="s">
        <v>294</v>
      </c>
      <c r="F47" s="26" t="s">
        <v>279</v>
      </c>
      <c r="G47" s="26" t="s">
        <v>280</v>
      </c>
      <c r="H47" s="26" t="s">
        <v>281</v>
      </c>
      <c r="I47" s="25" t="s">
        <v>320</v>
      </c>
      <c r="J47" s="39">
        <v>31</v>
      </c>
      <c r="K47" s="39" t="s">
        <v>39</v>
      </c>
      <c r="L47" s="39">
        <v>66</v>
      </c>
    </row>
    <row r="48" spans="1:12" ht="21.75" customHeight="1" x14ac:dyDescent="0.3">
      <c r="A48" s="37">
        <v>15</v>
      </c>
      <c r="B48" s="37" t="s">
        <v>153</v>
      </c>
      <c r="C48" s="38"/>
      <c r="D48" s="42" t="s">
        <v>322</v>
      </c>
      <c r="E48" s="42" t="s">
        <v>339</v>
      </c>
      <c r="F48" s="26" t="s">
        <v>279</v>
      </c>
      <c r="G48" s="26" t="s">
        <v>280</v>
      </c>
      <c r="H48" s="26" t="s">
        <v>281</v>
      </c>
      <c r="I48" s="26" t="s">
        <v>301</v>
      </c>
      <c r="J48" s="39">
        <v>59</v>
      </c>
      <c r="K48" s="39" t="s">
        <v>39</v>
      </c>
      <c r="L48" s="39">
        <v>115</v>
      </c>
    </row>
    <row r="49" spans="1:12" ht="21.75" customHeight="1" x14ac:dyDescent="0.3">
      <c r="A49" s="37">
        <v>16</v>
      </c>
      <c r="B49" s="37" t="s">
        <v>160</v>
      </c>
      <c r="C49" s="38" t="s">
        <v>55</v>
      </c>
      <c r="D49" s="42" t="s">
        <v>278</v>
      </c>
      <c r="E49" s="42" t="s">
        <v>299</v>
      </c>
      <c r="F49" s="26" t="s">
        <v>279</v>
      </c>
      <c r="G49" s="26" t="s">
        <v>280</v>
      </c>
      <c r="H49" s="26" t="s">
        <v>281</v>
      </c>
      <c r="I49" s="25" t="s">
        <v>328</v>
      </c>
      <c r="J49" s="39">
        <v>41</v>
      </c>
      <c r="K49" s="39" t="s">
        <v>340</v>
      </c>
      <c r="L49" s="39">
        <v>89</v>
      </c>
    </row>
    <row r="50" spans="1:12" ht="21.75" customHeight="1" x14ac:dyDescent="0.3">
      <c r="A50" s="40">
        <v>16</v>
      </c>
      <c r="B50" s="40" t="s">
        <v>160</v>
      </c>
      <c r="C50" s="41"/>
      <c r="D50" s="27" t="s">
        <v>299</v>
      </c>
      <c r="E50" s="27" t="s">
        <v>278</v>
      </c>
      <c r="F50" s="26" t="s">
        <v>279</v>
      </c>
      <c r="G50" s="26" t="s">
        <v>280</v>
      </c>
      <c r="H50" s="26" t="s">
        <v>281</v>
      </c>
      <c r="I50" s="25" t="s">
        <v>341</v>
      </c>
      <c r="J50" s="39"/>
      <c r="K50" s="39"/>
      <c r="L50" s="39"/>
    </row>
    <row r="51" spans="1:12" ht="21.75" customHeight="1" x14ac:dyDescent="0.3">
      <c r="A51" s="37">
        <v>16</v>
      </c>
      <c r="B51" s="37" t="s">
        <v>160</v>
      </c>
      <c r="C51" s="38"/>
      <c r="D51" s="42" t="s">
        <v>287</v>
      </c>
      <c r="E51" s="42" t="s">
        <v>342</v>
      </c>
      <c r="F51" s="26" t="s">
        <v>279</v>
      </c>
      <c r="G51" s="26" t="s">
        <v>280</v>
      </c>
      <c r="H51" s="26" t="s">
        <v>281</v>
      </c>
      <c r="I51" s="26" t="s">
        <v>301</v>
      </c>
      <c r="J51" s="39">
        <v>27</v>
      </c>
      <c r="K51" s="39" t="s">
        <v>83</v>
      </c>
      <c r="L51" s="39">
        <v>46</v>
      </c>
    </row>
    <row r="52" spans="1:12" ht="21.75" customHeight="1" x14ac:dyDescent="0.3">
      <c r="A52" s="37">
        <v>17</v>
      </c>
      <c r="B52" s="37" t="s">
        <v>166</v>
      </c>
      <c r="C52" s="38" t="s">
        <v>28</v>
      </c>
      <c r="D52" s="42" t="s">
        <v>286</v>
      </c>
      <c r="E52" s="42" t="s">
        <v>287</v>
      </c>
      <c r="F52" s="26" t="s">
        <v>279</v>
      </c>
      <c r="G52" s="26" t="s">
        <v>280</v>
      </c>
      <c r="H52" s="26" t="s">
        <v>281</v>
      </c>
      <c r="I52" s="25" t="s">
        <v>317</v>
      </c>
      <c r="J52" s="39">
        <v>30</v>
      </c>
      <c r="K52" s="39" t="s">
        <v>343</v>
      </c>
      <c r="L52" s="39">
        <v>45</v>
      </c>
    </row>
    <row r="53" spans="1:12" ht="21.75" customHeight="1" x14ac:dyDescent="0.3">
      <c r="A53" s="40">
        <v>17</v>
      </c>
      <c r="B53" s="40" t="s">
        <v>166</v>
      </c>
      <c r="C53" s="41"/>
      <c r="D53" s="42" t="s">
        <v>321</v>
      </c>
      <c r="E53" s="42" t="s">
        <v>344</v>
      </c>
      <c r="F53" s="26" t="s">
        <v>279</v>
      </c>
      <c r="G53" s="26" t="s">
        <v>280</v>
      </c>
      <c r="H53" s="26" t="s">
        <v>281</v>
      </c>
      <c r="I53" s="25" t="s">
        <v>320</v>
      </c>
      <c r="J53" s="39">
        <v>18</v>
      </c>
      <c r="K53" s="39" t="s">
        <v>345</v>
      </c>
      <c r="L53" s="39">
        <v>31</v>
      </c>
    </row>
    <row r="54" spans="1:12" ht="21.75" customHeight="1" x14ac:dyDescent="0.3">
      <c r="A54" s="37">
        <v>17</v>
      </c>
      <c r="B54" s="37" t="s">
        <v>166</v>
      </c>
      <c r="C54" s="38"/>
      <c r="D54" s="42" t="s">
        <v>287</v>
      </c>
      <c r="E54" s="42" t="s">
        <v>342</v>
      </c>
      <c r="F54" s="26" t="s">
        <v>279</v>
      </c>
      <c r="G54" s="26" t="s">
        <v>280</v>
      </c>
      <c r="H54" s="26" t="s">
        <v>281</v>
      </c>
      <c r="I54" s="26" t="s">
        <v>301</v>
      </c>
      <c r="J54" s="39">
        <v>41</v>
      </c>
      <c r="K54" s="39" t="s">
        <v>39</v>
      </c>
      <c r="L54" s="39">
        <v>90</v>
      </c>
    </row>
    <row r="55" spans="1:12" ht="21.75" customHeight="1" x14ac:dyDescent="0.3">
      <c r="A55" s="37">
        <v>18</v>
      </c>
      <c r="B55" s="37" t="s">
        <v>346</v>
      </c>
      <c r="C55" s="38" t="s">
        <v>43</v>
      </c>
      <c r="D55" s="42" t="s">
        <v>322</v>
      </c>
      <c r="E55" s="42" t="s">
        <v>347</v>
      </c>
      <c r="F55" s="26" t="s">
        <v>279</v>
      </c>
      <c r="G55" s="26" t="s">
        <v>280</v>
      </c>
      <c r="H55" s="26" t="s">
        <v>281</v>
      </c>
      <c r="I55" s="25" t="s">
        <v>290</v>
      </c>
      <c r="J55" s="39">
        <v>23</v>
      </c>
      <c r="K55" s="39" t="s">
        <v>348</v>
      </c>
      <c r="L55" s="39">
        <v>17</v>
      </c>
    </row>
    <row r="56" spans="1:12" ht="21.75" customHeight="1" x14ac:dyDescent="0.3">
      <c r="A56" s="40">
        <v>18</v>
      </c>
      <c r="B56" s="40" t="s">
        <v>346</v>
      </c>
      <c r="C56" s="41"/>
      <c r="D56" s="27" t="s">
        <v>322</v>
      </c>
      <c r="E56" s="39" t="s">
        <v>291</v>
      </c>
      <c r="F56" s="26" t="s">
        <v>279</v>
      </c>
      <c r="G56" s="26" t="s">
        <v>280</v>
      </c>
      <c r="H56" s="26" t="s">
        <v>281</v>
      </c>
      <c r="I56" s="25" t="s">
        <v>349</v>
      </c>
      <c r="J56" s="39"/>
      <c r="K56" s="39"/>
      <c r="L56" s="39"/>
    </row>
    <row r="57" spans="1:12" ht="21.75" customHeight="1" x14ac:dyDescent="0.3">
      <c r="A57" s="37">
        <v>18</v>
      </c>
      <c r="B57" s="37" t="s">
        <v>346</v>
      </c>
      <c r="C57" s="38"/>
      <c r="D57" s="42" t="s">
        <v>300</v>
      </c>
      <c r="E57" s="42" t="s">
        <v>306</v>
      </c>
      <c r="F57" s="26" t="s">
        <v>279</v>
      </c>
      <c r="G57" s="26" t="s">
        <v>280</v>
      </c>
      <c r="H57" s="26" t="s">
        <v>281</v>
      </c>
      <c r="I57" s="26" t="s">
        <v>301</v>
      </c>
      <c r="J57" s="39">
        <v>36</v>
      </c>
      <c r="K57" s="39" t="s">
        <v>350</v>
      </c>
      <c r="L57" s="39">
        <v>50</v>
      </c>
    </row>
    <row r="58" spans="1:12" ht="21.75" customHeight="1" x14ac:dyDescent="0.3">
      <c r="A58" s="37">
        <v>19</v>
      </c>
      <c r="B58" s="37" t="s">
        <v>171</v>
      </c>
      <c r="C58" s="38" t="s">
        <v>55</v>
      </c>
      <c r="D58" s="42" t="s">
        <v>278</v>
      </c>
      <c r="E58" s="42" t="s">
        <v>327</v>
      </c>
      <c r="F58" s="26" t="s">
        <v>279</v>
      </c>
      <c r="G58" s="26" t="s">
        <v>280</v>
      </c>
      <c r="H58" s="26" t="s">
        <v>281</v>
      </c>
      <c r="I58" s="25" t="s">
        <v>282</v>
      </c>
      <c r="J58" s="39">
        <v>23</v>
      </c>
      <c r="K58" s="39" t="s">
        <v>351</v>
      </c>
      <c r="L58" s="39">
        <v>64</v>
      </c>
    </row>
    <row r="59" spans="1:12" ht="21.75" customHeight="1" x14ac:dyDescent="0.3">
      <c r="A59" s="40">
        <v>19</v>
      </c>
      <c r="B59" s="40" t="s">
        <v>171</v>
      </c>
      <c r="C59" s="41"/>
      <c r="D59" s="42" t="s">
        <v>303</v>
      </c>
      <c r="E59" s="42" t="s">
        <v>284</v>
      </c>
      <c r="F59" s="26" t="s">
        <v>279</v>
      </c>
      <c r="G59" s="26" t="s">
        <v>280</v>
      </c>
      <c r="H59" s="26" t="s">
        <v>281</v>
      </c>
      <c r="I59" s="25" t="s">
        <v>352</v>
      </c>
      <c r="J59" s="39">
        <v>43</v>
      </c>
      <c r="K59" s="39" t="s">
        <v>353</v>
      </c>
      <c r="L59" s="39">
        <v>69</v>
      </c>
    </row>
    <row r="60" spans="1:12" ht="21.75" customHeight="1" x14ac:dyDescent="0.3">
      <c r="A60" s="37">
        <v>19</v>
      </c>
      <c r="B60" s="37" t="s">
        <v>171</v>
      </c>
      <c r="C60" s="38"/>
      <c r="D60" s="42" t="s">
        <v>293</v>
      </c>
      <c r="E60" s="42" t="s">
        <v>354</v>
      </c>
      <c r="F60" s="26" t="s">
        <v>279</v>
      </c>
      <c r="G60" s="26" t="s">
        <v>280</v>
      </c>
      <c r="H60" s="26" t="s">
        <v>281</v>
      </c>
      <c r="I60" s="25" t="s">
        <v>355</v>
      </c>
      <c r="J60" s="39">
        <v>56</v>
      </c>
      <c r="K60" s="39" t="s">
        <v>356</v>
      </c>
      <c r="L60" s="39">
        <v>78</v>
      </c>
    </row>
    <row r="61" spans="1:12" ht="21.75" customHeight="1" x14ac:dyDescent="0.3">
      <c r="A61" s="37">
        <v>20</v>
      </c>
      <c r="B61" s="37" t="s">
        <v>177</v>
      </c>
      <c r="C61" s="38" t="s">
        <v>27</v>
      </c>
      <c r="D61" s="42" t="s">
        <v>357</v>
      </c>
      <c r="E61" s="42" t="s">
        <v>294</v>
      </c>
      <c r="F61" s="26" t="s">
        <v>279</v>
      </c>
      <c r="G61" s="26" t="s">
        <v>280</v>
      </c>
      <c r="H61" s="26" t="s">
        <v>281</v>
      </c>
      <c r="I61" s="25" t="s">
        <v>317</v>
      </c>
      <c r="J61" s="39">
        <v>24</v>
      </c>
      <c r="K61" s="39" t="s">
        <v>39</v>
      </c>
      <c r="L61" s="39">
        <v>70</v>
      </c>
    </row>
    <row r="62" spans="1:12" ht="21.75" customHeight="1" x14ac:dyDescent="0.3">
      <c r="A62" s="40">
        <v>20</v>
      </c>
      <c r="B62" s="40" t="s">
        <v>177</v>
      </c>
      <c r="C62" s="41"/>
      <c r="D62" s="42" t="s">
        <v>358</v>
      </c>
      <c r="E62" s="42" t="s">
        <v>359</v>
      </c>
      <c r="F62" s="26" t="s">
        <v>279</v>
      </c>
      <c r="G62" s="26" t="s">
        <v>280</v>
      </c>
      <c r="H62" s="26" t="s">
        <v>281</v>
      </c>
      <c r="I62" s="25" t="s">
        <v>329</v>
      </c>
      <c r="J62" s="39">
        <v>15</v>
      </c>
      <c r="K62" s="39" t="s">
        <v>360</v>
      </c>
      <c r="L62" s="39">
        <v>27</v>
      </c>
    </row>
    <row r="63" spans="1:12" ht="21.75" customHeight="1" x14ac:dyDescent="0.3">
      <c r="A63" s="37">
        <v>20</v>
      </c>
      <c r="B63" s="37" t="s">
        <v>177</v>
      </c>
      <c r="C63" s="38"/>
      <c r="D63" s="39" t="s">
        <v>291</v>
      </c>
      <c r="E63" s="39" t="s">
        <v>291</v>
      </c>
      <c r="F63" s="26" t="s">
        <v>279</v>
      </c>
      <c r="G63" s="26" t="s">
        <v>280</v>
      </c>
      <c r="H63" s="26" t="s">
        <v>281</v>
      </c>
      <c r="I63" s="26" t="s">
        <v>301</v>
      </c>
      <c r="J63" s="39"/>
      <c r="K63" s="39"/>
      <c r="L63" s="39"/>
    </row>
    <row r="64" spans="1:12" ht="21.75" customHeight="1" x14ac:dyDescent="0.3">
      <c r="A64" s="37">
        <v>21</v>
      </c>
      <c r="B64" s="37" t="s">
        <v>183</v>
      </c>
      <c r="C64" s="38" t="s">
        <v>28</v>
      </c>
      <c r="D64" s="43" t="s">
        <v>361</v>
      </c>
      <c r="E64" s="43" t="s">
        <v>361</v>
      </c>
      <c r="F64" s="26" t="s">
        <v>279</v>
      </c>
      <c r="G64" s="26" t="s">
        <v>280</v>
      </c>
      <c r="H64" s="26" t="s">
        <v>281</v>
      </c>
      <c r="I64" s="25" t="s">
        <v>362</v>
      </c>
      <c r="J64" s="43" t="s">
        <v>361</v>
      </c>
      <c r="K64" s="43" t="s">
        <v>361</v>
      </c>
      <c r="L64" s="43" t="s">
        <v>361</v>
      </c>
    </row>
    <row r="65" spans="1:12" ht="21.75" customHeight="1" x14ac:dyDescent="0.3">
      <c r="A65" s="40">
        <v>21</v>
      </c>
      <c r="B65" s="40" t="s">
        <v>183</v>
      </c>
      <c r="C65" s="41"/>
      <c r="D65" s="43" t="s">
        <v>361</v>
      </c>
      <c r="E65" s="43" t="s">
        <v>361</v>
      </c>
      <c r="F65" s="26" t="s">
        <v>279</v>
      </c>
      <c r="G65" s="26" t="s">
        <v>280</v>
      </c>
      <c r="H65" s="26" t="s">
        <v>281</v>
      </c>
      <c r="I65" s="26" t="s">
        <v>301</v>
      </c>
      <c r="J65" s="43" t="s">
        <v>361</v>
      </c>
      <c r="K65" s="43" t="s">
        <v>361</v>
      </c>
      <c r="L65" s="43" t="s">
        <v>361</v>
      </c>
    </row>
    <row r="66" spans="1:12" ht="21.75" customHeight="1" x14ac:dyDescent="0.3">
      <c r="A66" s="37">
        <v>21</v>
      </c>
      <c r="B66" s="37" t="s">
        <v>183</v>
      </c>
      <c r="C66" s="38"/>
      <c r="D66" s="42" t="s">
        <v>363</v>
      </c>
      <c r="E66" s="42" t="s">
        <v>304</v>
      </c>
      <c r="F66" s="26" t="s">
        <v>279</v>
      </c>
      <c r="G66" s="26" t="s">
        <v>280</v>
      </c>
      <c r="H66" s="26" t="s">
        <v>281</v>
      </c>
      <c r="I66" s="26" t="s">
        <v>301</v>
      </c>
      <c r="J66" s="39">
        <v>52</v>
      </c>
      <c r="K66" s="39" t="s">
        <v>364</v>
      </c>
      <c r="L66" s="39">
        <v>58</v>
      </c>
    </row>
    <row r="67" spans="1:12" ht="21.75" customHeight="1" x14ac:dyDescent="0.3">
      <c r="A67" s="37">
        <v>22</v>
      </c>
      <c r="B67" s="37" t="s">
        <v>194</v>
      </c>
      <c r="C67" s="38" t="s">
        <v>54</v>
      </c>
      <c r="D67" s="42" t="s">
        <v>314</v>
      </c>
      <c r="E67" s="42" t="s">
        <v>365</v>
      </c>
      <c r="F67" s="26" t="s">
        <v>279</v>
      </c>
      <c r="G67" s="26" t="s">
        <v>280</v>
      </c>
      <c r="H67" s="26" t="s">
        <v>281</v>
      </c>
      <c r="I67" s="25" t="s">
        <v>329</v>
      </c>
      <c r="J67" s="39">
        <v>62</v>
      </c>
      <c r="K67" s="39" t="s">
        <v>366</v>
      </c>
      <c r="L67" s="39">
        <v>102</v>
      </c>
    </row>
    <row r="68" spans="1:12" ht="21.75" customHeight="1" x14ac:dyDescent="0.3">
      <c r="A68" s="40">
        <v>22</v>
      </c>
      <c r="B68" s="40" t="s">
        <v>194</v>
      </c>
      <c r="C68" s="41"/>
      <c r="D68" s="39" t="s">
        <v>291</v>
      </c>
      <c r="E68" s="39" t="s">
        <v>291</v>
      </c>
      <c r="F68" s="26" t="s">
        <v>279</v>
      </c>
      <c r="G68" s="26" t="s">
        <v>280</v>
      </c>
      <c r="H68" s="26" t="s">
        <v>281</v>
      </c>
      <c r="I68" s="25" t="s">
        <v>305</v>
      </c>
      <c r="J68" s="39"/>
      <c r="K68" s="39"/>
      <c r="L68" s="39"/>
    </row>
    <row r="69" spans="1:12" ht="21.75" customHeight="1" x14ac:dyDescent="0.3">
      <c r="A69" s="37">
        <v>22</v>
      </c>
      <c r="B69" s="37" t="s">
        <v>194</v>
      </c>
      <c r="C69" s="38"/>
      <c r="D69" s="42" t="s">
        <v>363</v>
      </c>
      <c r="E69" s="42" t="s">
        <v>304</v>
      </c>
      <c r="F69" s="26" t="s">
        <v>279</v>
      </c>
      <c r="G69" s="26" t="s">
        <v>280</v>
      </c>
      <c r="H69" s="26" t="s">
        <v>281</v>
      </c>
      <c r="I69" s="26" t="s">
        <v>301</v>
      </c>
      <c r="J69" s="39">
        <v>34</v>
      </c>
      <c r="K69" s="39" t="s">
        <v>367</v>
      </c>
      <c r="L69" s="39">
        <v>58</v>
      </c>
    </row>
    <row r="70" spans="1:12" ht="21.75" customHeight="1" x14ac:dyDescent="0.3">
      <c r="A70" s="37">
        <v>23</v>
      </c>
      <c r="B70" s="37" t="s">
        <v>198</v>
      </c>
      <c r="C70" s="38" t="s">
        <v>44</v>
      </c>
      <c r="D70" s="42" t="s">
        <v>286</v>
      </c>
      <c r="E70" s="42" t="s">
        <v>338</v>
      </c>
      <c r="F70" s="26" t="s">
        <v>279</v>
      </c>
      <c r="G70" s="26" t="s">
        <v>280</v>
      </c>
      <c r="H70" s="26" t="s">
        <v>281</v>
      </c>
      <c r="I70" s="25" t="s">
        <v>290</v>
      </c>
      <c r="J70" s="39">
        <v>38</v>
      </c>
      <c r="K70" s="39" t="s">
        <v>368</v>
      </c>
      <c r="L70" s="39">
        <v>52</v>
      </c>
    </row>
    <row r="71" spans="1:12" ht="21.75" customHeight="1" x14ac:dyDescent="0.3">
      <c r="A71" s="40">
        <v>23</v>
      </c>
      <c r="B71" s="40" t="s">
        <v>198</v>
      </c>
      <c r="C71" s="41"/>
      <c r="D71" s="42" t="s">
        <v>369</v>
      </c>
      <c r="E71" s="42" t="s">
        <v>338</v>
      </c>
      <c r="F71" s="26" t="s">
        <v>279</v>
      </c>
      <c r="G71" s="26" t="s">
        <v>280</v>
      </c>
      <c r="H71" s="26" t="s">
        <v>281</v>
      </c>
      <c r="I71" s="25" t="s">
        <v>298</v>
      </c>
      <c r="J71" s="39">
        <v>18</v>
      </c>
      <c r="K71" s="39" t="s">
        <v>370</v>
      </c>
      <c r="L71" s="39">
        <v>26</v>
      </c>
    </row>
    <row r="72" spans="1:12" ht="21.75" customHeight="1" x14ac:dyDescent="0.3">
      <c r="A72" s="37">
        <v>23</v>
      </c>
      <c r="B72" s="37" t="s">
        <v>198</v>
      </c>
      <c r="C72" s="38"/>
      <c r="D72" s="42" t="s">
        <v>300</v>
      </c>
      <c r="E72" s="42" t="s">
        <v>306</v>
      </c>
      <c r="F72" s="26" t="s">
        <v>279</v>
      </c>
      <c r="G72" s="26" t="s">
        <v>280</v>
      </c>
      <c r="H72" s="26" t="s">
        <v>281</v>
      </c>
      <c r="I72" s="26" t="s">
        <v>301</v>
      </c>
      <c r="J72" s="39">
        <v>47</v>
      </c>
      <c r="K72" s="39" t="s">
        <v>371</v>
      </c>
      <c r="L72" s="39">
        <v>90</v>
      </c>
    </row>
    <row r="73" spans="1:12" ht="21.75" customHeight="1" x14ac:dyDescent="0.3">
      <c r="A73" s="37">
        <v>24</v>
      </c>
      <c r="B73" s="37" t="s">
        <v>203</v>
      </c>
      <c r="C73" s="38" t="s">
        <v>43</v>
      </c>
      <c r="D73" s="42" t="s">
        <v>357</v>
      </c>
      <c r="E73" s="42" t="s">
        <v>294</v>
      </c>
      <c r="F73" s="26" t="s">
        <v>279</v>
      </c>
      <c r="G73" s="26" t="s">
        <v>280</v>
      </c>
      <c r="H73" s="26" t="s">
        <v>281</v>
      </c>
      <c r="I73" s="25" t="s">
        <v>312</v>
      </c>
      <c r="J73" s="39">
        <v>24</v>
      </c>
      <c r="K73" s="39" t="s">
        <v>39</v>
      </c>
      <c r="L73" s="39">
        <v>70</v>
      </c>
    </row>
    <row r="74" spans="1:12" ht="21.75" customHeight="1" x14ac:dyDescent="0.3">
      <c r="A74" s="40">
        <v>24</v>
      </c>
      <c r="B74" s="40" t="s">
        <v>203</v>
      </c>
      <c r="C74" s="41"/>
      <c r="D74" s="42" t="s">
        <v>300</v>
      </c>
      <c r="E74" s="42" t="s">
        <v>277</v>
      </c>
      <c r="F74" s="26" t="s">
        <v>279</v>
      </c>
      <c r="G74" s="26" t="s">
        <v>280</v>
      </c>
      <c r="H74" s="26" t="s">
        <v>281</v>
      </c>
      <c r="I74" s="25" t="s">
        <v>372</v>
      </c>
      <c r="J74" s="39">
        <v>17</v>
      </c>
      <c r="K74" s="39" t="s">
        <v>373</v>
      </c>
      <c r="L74" s="39">
        <v>31</v>
      </c>
    </row>
    <row r="75" spans="1:12" ht="21.75" customHeight="1" x14ac:dyDescent="0.3">
      <c r="A75" s="37">
        <v>24</v>
      </c>
      <c r="B75" s="37" t="s">
        <v>203</v>
      </c>
      <c r="C75" s="38"/>
      <c r="D75" s="42" t="s">
        <v>314</v>
      </c>
      <c r="E75" s="42" t="s">
        <v>313</v>
      </c>
      <c r="F75" s="26" t="s">
        <v>279</v>
      </c>
      <c r="G75" s="26" t="s">
        <v>280</v>
      </c>
      <c r="H75" s="26" t="s">
        <v>281</v>
      </c>
      <c r="I75" s="26" t="s">
        <v>301</v>
      </c>
      <c r="J75" s="39">
        <v>35</v>
      </c>
      <c r="K75" s="39" t="s">
        <v>374</v>
      </c>
      <c r="L75" s="39">
        <v>49</v>
      </c>
    </row>
    <row r="76" spans="1:12" ht="21.75" customHeight="1" x14ac:dyDescent="0.3">
      <c r="A76" s="37">
        <v>25</v>
      </c>
      <c r="B76" s="37" t="s">
        <v>208</v>
      </c>
      <c r="C76" s="38" t="s">
        <v>54</v>
      </c>
      <c r="D76" s="42" t="s">
        <v>375</v>
      </c>
      <c r="E76" s="42" t="s">
        <v>316</v>
      </c>
      <c r="F76" s="26" t="s">
        <v>279</v>
      </c>
      <c r="G76" s="26" t="s">
        <v>280</v>
      </c>
      <c r="H76" s="26" t="s">
        <v>281</v>
      </c>
      <c r="I76" s="25" t="s">
        <v>328</v>
      </c>
      <c r="J76" s="39">
        <v>24</v>
      </c>
      <c r="K76" s="39" t="s">
        <v>39</v>
      </c>
      <c r="L76" s="39">
        <v>40</v>
      </c>
    </row>
    <row r="77" spans="1:12" ht="21.75" customHeight="1" x14ac:dyDescent="0.3">
      <c r="A77" s="40">
        <v>25</v>
      </c>
      <c r="B77" s="40" t="s">
        <v>208</v>
      </c>
      <c r="C77" s="41"/>
      <c r="D77" s="42" t="s">
        <v>376</v>
      </c>
      <c r="E77" s="42" t="s">
        <v>377</v>
      </c>
      <c r="F77" s="26" t="s">
        <v>279</v>
      </c>
      <c r="G77" s="26" t="s">
        <v>280</v>
      </c>
      <c r="H77" s="26" t="s">
        <v>281</v>
      </c>
      <c r="I77" s="25" t="s">
        <v>329</v>
      </c>
      <c r="J77" s="39">
        <v>22</v>
      </c>
      <c r="K77" s="39" t="s">
        <v>378</v>
      </c>
      <c r="L77" s="39">
        <v>26</v>
      </c>
    </row>
    <row r="78" spans="1:12" ht="21.75" customHeight="1" x14ac:dyDescent="0.3">
      <c r="A78" s="72">
        <v>25</v>
      </c>
      <c r="B78" s="72" t="s">
        <v>208</v>
      </c>
      <c r="C78" s="73"/>
      <c r="D78" s="74" t="s">
        <v>291</v>
      </c>
      <c r="E78" s="74" t="s">
        <v>291</v>
      </c>
      <c r="F78" s="75" t="s">
        <v>279</v>
      </c>
      <c r="G78" s="75" t="s">
        <v>280</v>
      </c>
      <c r="H78" s="75" t="s">
        <v>281</v>
      </c>
      <c r="I78" s="75" t="s">
        <v>301</v>
      </c>
      <c r="J78" s="74"/>
      <c r="K78" s="74"/>
      <c r="L78" s="74"/>
    </row>
    <row r="79" spans="1:12" ht="15" customHeight="1" x14ac:dyDescent="0.3">
      <c r="A79" s="76">
        <v>26</v>
      </c>
      <c r="B79" s="76" t="s">
        <v>213</v>
      </c>
      <c r="C79" s="76" t="s">
        <v>43</v>
      </c>
      <c r="D79" s="77" t="s">
        <v>379</v>
      </c>
      <c r="E79" s="77" t="s">
        <v>337</v>
      </c>
      <c r="F79" s="76" t="s">
        <v>279</v>
      </c>
      <c r="G79" s="76" t="s">
        <v>280</v>
      </c>
      <c r="H79" s="76" t="s">
        <v>281</v>
      </c>
      <c r="I79" s="76" t="s">
        <v>380</v>
      </c>
      <c r="J79" s="78">
        <v>48</v>
      </c>
      <c r="K79" s="78" t="s">
        <v>217</v>
      </c>
      <c r="L79" s="78">
        <v>95</v>
      </c>
    </row>
    <row r="80" spans="1:12" ht="18" customHeight="1" x14ac:dyDescent="0.3">
      <c r="A80" s="79"/>
      <c r="B80" s="79"/>
      <c r="C80" s="76"/>
      <c r="D80" s="77" t="s">
        <v>381</v>
      </c>
      <c r="E80" s="77" t="s">
        <v>382</v>
      </c>
      <c r="F80" s="76" t="s">
        <v>279</v>
      </c>
      <c r="G80" s="76" t="s">
        <v>280</v>
      </c>
      <c r="H80" s="76" t="s">
        <v>281</v>
      </c>
      <c r="I80" s="76" t="s">
        <v>320</v>
      </c>
      <c r="J80" s="78">
        <v>47</v>
      </c>
      <c r="K80" s="78" t="s">
        <v>383</v>
      </c>
      <c r="L80" s="78">
        <v>55</v>
      </c>
    </row>
    <row r="81" spans="1:12" ht="15" customHeight="1" x14ac:dyDescent="0.3">
      <c r="A81" s="76"/>
      <c r="B81" s="76"/>
      <c r="C81" s="76"/>
      <c r="D81" s="77" t="s">
        <v>332</v>
      </c>
      <c r="E81" s="77" t="s">
        <v>303</v>
      </c>
      <c r="F81" s="76" t="s">
        <v>279</v>
      </c>
      <c r="G81" s="76" t="s">
        <v>280</v>
      </c>
      <c r="H81" s="76" t="s">
        <v>281</v>
      </c>
      <c r="I81" s="76" t="s">
        <v>384</v>
      </c>
      <c r="J81" s="78">
        <v>26</v>
      </c>
      <c r="K81" s="78" t="s">
        <v>385</v>
      </c>
      <c r="L81" s="78">
        <v>39</v>
      </c>
    </row>
    <row r="82" spans="1:12" ht="15" customHeight="1" x14ac:dyDescent="0.3">
      <c r="A82" s="76">
        <v>27</v>
      </c>
      <c r="B82" s="76" t="s">
        <v>220</v>
      </c>
      <c r="C82" s="76" t="s">
        <v>55</v>
      </c>
      <c r="D82" s="77" t="s">
        <v>296</v>
      </c>
      <c r="E82" s="77" t="s">
        <v>293</v>
      </c>
      <c r="F82" s="76" t="s">
        <v>279</v>
      </c>
      <c r="G82" s="76" t="s">
        <v>280</v>
      </c>
      <c r="H82" s="76" t="s">
        <v>281</v>
      </c>
      <c r="I82" s="76" t="s">
        <v>386</v>
      </c>
      <c r="J82" s="78">
        <v>89</v>
      </c>
      <c r="K82" s="78" t="s">
        <v>224</v>
      </c>
      <c r="L82" s="78">
        <v>162</v>
      </c>
    </row>
    <row r="83" spans="1:12" ht="15" customHeight="1" x14ac:dyDescent="0.3">
      <c r="A83" s="76"/>
      <c r="B83" s="76"/>
      <c r="C83" s="76"/>
      <c r="D83" s="77" t="s">
        <v>314</v>
      </c>
      <c r="E83" s="77" t="s">
        <v>365</v>
      </c>
      <c r="F83" s="76" t="s">
        <v>279</v>
      </c>
      <c r="G83" s="76" t="s">
        <v>280</v>
      </c>
      <c r="H83" s="76" t="s">
        <v>281</v>
      </c>
      <c r="I83" s="76" t="s">
        <v>292</v>
      </c>
      <c r="J83" s="78">
        <v>47</v>
      </c>
      <c r="K83" s="78" t="s">
        <v>387</v>
      </c>
      <c r="L83" s="78">
        <v>77</v>
      </c>
    </row>
    <row r="84" spans="1:12" ht="15" customHeight="1" x14ac:dyDescent="0.3">
      <c r="A84" s="76"/>
      <c r="B84" s="76"/>
      <c r="C84" s="76"/>
      <c r="D84" s="77" t="s">
        <v>357</v>
      </c>
      <c r="E84" s="77" t="s">
        <v>294</v>
      </c>
      <c r="F84" s="76" t="s">
        <v>279</v>
      </c>
      <c r="G84" s="76" t="s">
        <v>280</v>
      </c>
      <c r="H84" s="76" t="s">
        <v>281</v>
      </c>
      <c r="I84" s="76" t="s">
        <v>388</v>
      </c>
      <c r="J84" s="78">
        <v>24</v>
      </c>
      <c r="K84" s="78" t="s">
        <v>39</v>
      </c>
      <c r="L84" s="78">
        <v>70</v>
      </c>
    </row>
    <row r="85" spans="1:12" ht="15" customHeight="1" x14ac:dyDescent="0.3">
      <c r="A85" s="76">
        <v>28</v>
      </c>
      <c r="B85" s="76" t="s">
        <v>227</v>
      </c>
      <c r="C85" s="76" t="s">
        <v>43</v>
      </c>
      <c r="D85" s="77" t="s">
        <v>287</v>
      </c>
      <c r="E85" s="77" t="s">
        <v>389</v>
      </c>
      <c r="F85" s="76" t="s">
        <v>279</v>
      </c>
      <c r="G85" s="76" t="s">
        <v>280</v>
      </c>
      <c r="H85" s="76" t="s">
        <v>281</v>
      </c>
      <c r="I85" s="76" t="s">
        <v>302</v>
      </c>
      <c r="J85" s="78">
        <v>47</v>
      </c>
      <c r="K85" s="78" t="s">
        <v>211</v>
      </c>
      <c r="L85" s="78">
        <v>77</v>
      </c>
    </row>
    <row r="86" spans="1:12" ht="15" customHeight="1" x14ac:dyDescent="0.3">
      <c r="A86" s="76"/>
      <c r="B86" s="76"/>
      <c r="C86" s="76"/>
      <c r="D86" s="77" t="s">
        <v>390</v>
      </c>
      <c r="E86" s="77" t="s">
        <v>323</v>
      </c>
      <c r="F86" s="76" t="s">
        <v>279</v>
      </c>
      <c r="G86" s="76" t="s">
        <v>280</v>
      </c>
      <c r="H86" s="76" t="s">
        <v>281</v>
      </c>
      <c r="I86" s="76" t="s">
        <v>328</v>
      </c>
      <c r="J86" s="78">
        <v>33</v>
      </c>
      <c r="K86" s="78" t="s">
        <v>391</v>
      </c>
      <c r="L86" s="78">
        <v>52</v>
      </c>
    </row>
    <row r="87" spans="1:12" ht="15" customHeight="1" x14ac:dyDescent="0.3">
      <c r="A87" s="76"/>
      <c r="B87" s="76"/>
      <c r="C87" s="76"/>
      <c r="D87" s="77" t="s">
        <v>337</v>
      </c>
      <c r="E87" s="77" t="s">
        <v>338</v>
      </c>
      <c r="F87" s="76" t="s">
        <v>279</v>
      </c>
      <c r="G87" s="76" t="s">
        <v>280</v>
      </c>
      <c r="H87" s="76" t="s">
        <v>281</v>
      </c>
      <c r="I87" s="76" t="s">
        <v>302</v>
      </c>
      <c r="J87" s="78">
        <v>20</v>
      </c>
      <c r="K87" s="78" t="s">
        <v>392</v>
      </c>
      <c r="L87" s="78">
        <v>36</v>
      </c>
    </row>
    <row r="88" spans="1:12" ht="15" customHeight="1" x14ac:dyDescent="0.3">
      <c r="A88" s="76">
        <v>29</v>
      </c>
      <c r="B88" s="76" t="s">
        <v>227</v>
      </c>
      <c r="C88" s="76" t="s">
        <v>27</v>
      </c>
      <c r="D88" s="77" t="s">
        <v>300</v>
      </c>
      <c r="E88" s="77" t="s">
        <v>306</v>
      </c>
      <c r="F88" s="76" t="s">
        <v>279</v>
      </c>
      <c r="G88" s="76" t="s">
        <v>280</v>
      </c>
      <c r="H88" s="76" t="s">
        <v>281</v>
      </c>
      <c r="I88" s="76" t="s">
        <v>393</v>
      </c>
      <c r="J88" s="78">
        <v>22</v>
      </c>
      <c r="K88" s="78" t="s">
        <v>394</v>
      </c>
      <c r="L88" s="78">
        <v>54</v>
      </c>
    </row>
    <row r="89" spans="1:12" ht="15" customHeight="1" x14ac:dyDescent="0.3">
      <c r="A89" s="76"/>
      <c r="B89" s="76"/>
      <c r="C89" s="76"/>
      <c r="D89" s="77" t="s">
        <v>395</v>
      </c>
      <c r="E89" s="77" t="s">
        <v>396</v>
      </c>
      <c r="F89" s="76" t="s">
        <v>279</v>
      </c>
      <c r="G89" s="76" t="s">
        <v>280</v>
      </c>
      <c r="H89" s="76" t="s">
        <v>281</v>
      </c>
      <c r="I89" s="76" t="s">
        <v>292</v>
      </c>
      <c r="J89" s="78">
        <v>14</v>
      </c>
      <c r="K89" s="78" t="s">
        <v>39</v>
      </c>
      <c r="L89" s="78">
        <v>32</v>
      </c>
    </row>
    <row r="90" spans="1:12" ht="15" customHeight="1" x14ac:dyDescent="0.3">
      <c r="A90" s="76"/>
      <c r="B90" s="76"/>
      <c r="C90" s="76"/>
      <c r="D90" s="77" t="s">
        <v>395</v>
      </c>
      <c r="E90" s="77" t="s">
        <v>397</v>
      </c>
      <c r="F90" s="76" t="s">
        <v>279</v>
      </c>
      <c r="G90" s="76" t="s">
        <v>280</v>
      </c>
      <c r="H90" s="76" t="s">
        <v>281</v>
      </c>
      <c r="I90" s="76" t="s">
        <v>292</v>
      </c>
      <c r="J90" s="78">
        <v>17</v>
      </c>
      <c r="K90" s="78" t="s">
        <v>398</v>
      </c>
      <c r="L90" s="78">
        <v>28</v>
      </c>
    </row>
    <row r="91" spans="1:12" ht="15" customHeight="1" x14ac:dyDescent="0.3">
      <c r="A91" s="76">
        <v>30</v>
      </c>
      <c r="B91" s="76" t="s">
        <v>236</v>
      </c>
      <c r="C91" s="76" t="s">
        <v>28</v>
      </c>
      <c r="D91" s="77" t="s">
        <v>399</v>
      </c>
      <c r="E91" s="77" t="s">
        <v>304</v>
      </c>
      <c r="F91" s="76" t="s">
        <v>279</v>
      </c>
      <c r="G91" s="76" t="s">
        <v>280</v>
      </c>
      <c r="H91" s="76" t="s">
        <v>281</v>
      </c>
      <c r="I91" s="76" t="s">
        <v>400</v>
      </c>
      <c r="J91" s="78">
        <v>69</v>
      </c>
      <c r="K91" s="78" t="s">
        <v>401</v>
      </c>
      <c r="L91" s="78">
        <v>153</v>
      </c>
    </row>
    <row r="92" spans="1:12" ht="15" customHeight="1" x14ac:dyDescent="0.3">
      <c r="A92" s="76"/>
      <c r="B92" s="76"/>
      <c r="C92" s="76"/>
      <c r="D92" s="77" t="s">
        <v>318</v>
      </c>
      <c r="E92" s="77" t="s">
        <v>402</v>
      </c>
      <c r="F92" s="76" t="s">
        <v>279</v>
      </c>
      <c r="G92" s="76" t="s">
        <v>280</v>
      </c>
      <c r="H92" s="76" t="s">
        <v>281</v>
      </c>
      <c r="I92" s="76" t="s">
        <v>305</v>
      </c>
      <c r="J92" s="78">
        <v>16</v>
      </c>
      <c r="K92" s="78" t="s">
        <v>403</v>
      </c>
      <c r="L92" s="78">
        <v>38</v>
      </c>
    </row>
    <row r="93" spans="1:12" ht="15" customHeight="1" x14ac:dyDescent="0.3">
      <c r="A93" s="76"/>
      <c r="B93" s="76"/>
      <c r="C93" s="76"/>
      <c r="D93" s="77" t="s">
        <v>296</v>
      </c>
      <c r="E93" s="77" t="s">
        <v>311</v>
      </c>
      <c r="F93" s="76" t="s">
        <v>279</v>
      </c>
      <c r="G93" s="76" t="s">
        <v>280</v>
      </c>
      <c r="H93" s="76" t="s">
        <v>281</v>
      </c>
      <c r="I93" s="76" t="s">
        <v>298</v>
      </c>
      <c r="J93" s="78">
        <v>32</v>
      </c>
      <c r="K93" s="78" t="s">
        <v>404</v>
      </c>
      <c r="L93" s="78">
        <v>56</v>
      </c>
    </row>
    <row r="94" spans="1:12" ht="15" customHeight="1" x14ac:dyDescent="0.3">
      <c r="A94" s="76">
        <v>31</v>
      </c>
      <c r="B94" s="76" t="s">
        <v>242</v>
      </c>
      <c r="C94" s="76" t="s">
        <v>43</v>
      </c>
      <c r="D94" s="77" t="s">
        <v>379</v>
      </c>
      <c r="E94" s="77" t="s">
        <v>337</v>
      </c>
      <c r="F94" s="76" t="s">
        <v>279</v>
      </c>
      <c r="G94" s="76" t="s">
        <v>280</v>
      </c>
      <c r="H94" s="76" t="s">
        <v>281</v>
      </c>
      <c r="I94" s="76" t="s">
        <v>405</v>
      </c>
      <c r="J94" s="78">
        <v>48</v>
      </c>
      <c r="K94" s="78" t="s">
        <v>406</v>
      </c>
      <c r="L94" s="78">
        <v>95</v>
      </c>
    </row>
    <row r="95" spans="1:12" ht="15" customHeight="1" x14ac:dyDescent="0.3">
      <c r="A95" s="76"/>
      <c r="B95" s="76"/>
      <c r="C95" s="76"/>
      <c r="D95" s="77" t="s">
        <v>381</v>
      </c>
      <c r="E95" s="77" t="s">
        <v>382</v>
      </c>
      <c r="F95" s="76" t="s">
        <v>279</v>
      </c>
      <c r="G95" s="76" t="s">
        <v>280</v>
      </c>
      <c r="H95" s="76" t="s">
        <v>281</v>
      </c>
      <c r="I95" s="76" t="s">
        <v>320</v>
      </c>
      <c r="J95" s="78">
        <v>47</v>
      </c>
      <c r="K95" s="78" t="s">
        <v>383</v>
      </c>
      <c r="L95" s="78">
        <v>55</v>
      </c>
    </row>
    <row r="96" spans="1:12" ht="15" customHeight="1" x14ac:dyDescent="0.3">
      <c r="A96" s="76"/>
      <c r="B96" s="76"/>
      <c r="C96" s="76"/>
      <c r="D96" s="77" t="s">
        <v>332</v>
      </c>
      <c r="E96" s="77" t="s">
        <v>402</v>
      </c>
      <c r="F96" s="76" t="s">
        <v>279</v>
      </c>
      <c r="G96" s="76" t="s">
        <v>280</v>
      </c>
      <c r="H96" s="76" t="s">
        <v>281</v>
      </c>
      <c r="I96" s="76" t="s">
        <v>320</v>
      </c>
      <c r="J96" s="78">
        <v>26</v>
      </c>
      <c r="K96" s="78" t="s">
        <v>385</v>
      </c>
      <c r="L96" s="78">
        <v>39</v>
      </c>
    </row>
    <row r="97" spans="1:12" ht="15" customHeight="1" x14ac:dyDescent="0.3">
      <c r="A97" s="76">
        <v>32</v>
      </c>
      <c r="B97" s="76" t="s">
        <v>246</v>
      </c>
      <c r="C97" s="76" t="s">
        <v>27</v>
      </c>
      <c r="D97" s="77" t="s">
        <v>300</v>
      </c>
      <c r="E97" s="77" t="s">
        <v>306</v>
      </c>
      <c r="F97" s="76" t="s">
        <v>279</v>
      </c>
      <c r="G97" s="76" t="s">
        <v>280</v>
      </c>
      <c r="H97" s="76" t="s">
        <v>281</v>
      </c>
      <c r="I97" s="76" t="s">
        <v>407</v>
      </c>
      <c r="J97" s="78">
        <v>47</v>
      </c>
      <c r="K97" s="78" t="s">
        <v>371</v>
      </c>
      <c r="L97" s="78">
        <v>90</v>
      </c>
    </row>
    <row r="98" spans="1:12" ht="15" customHeight="1" x14ac:dyDescent="0.3">
      <c r="A98" s="76"/>
      <c r="B98" s="76"/>
      <c r="C98" s="76"/>
      <c r="D98" s="77" t="s">
        <v>357</v>
      </c>
      <c r="E98" s="77" t="s">
        <v>354</v>
      </c>
      <c r="F98" s="76" t="s">
        <v>279</v>
      </c>
      <c r="G98" s="76" t="s">
        <v>280</v>
      </c>
      <c r="H98" s="76" t="s">
        <v>281</v>
      </c>
      <c r="I98" s="76" t="s">
        <v>312</v>
      </c>
      <c r="J98" s="78">
        <v>17</v>
      </c>
      <c r="K98" s="78" t="s">
        <v>408</v>
      </c>
      <c r="L98" s="78">
        <v>45</v>
      </c>
    </row>
    <row r="99" spans="1:12" ht="15" customHeight="1" x14ac:dyDescent="0.3">
      <c r="A99" s="76"/>
      <c r="B99" s="76"/>
      <c r="C99" s="76"/>
      <c r="D99" s="77" t="s">
        <v>300</v>
      </c>
      <c r="E99" s="77" t="s">
        <v>277</v>
      </c>
      <c r="F99" s="76" t="s">
        <v>279</v>
      </c>
      <c r="G99" s="76" t="s">
        <v>280</v>
      </c>
      <c r="H99" s="76" t="s">
        <v>281</v>
      </c>
      <c r="I99" s="76" t="s">
        <v>329</v>
      </c>
      <c r="J99" s="78">
        <v>17</v>
      </c>
      <c r="K99" s="78" t="s">
        <v>409</v>
      </c>
      <c r="L99" s="78">
        <v>31</v>
      </c>
    </row>
    <row r="100" spans="1:12" ht="15" customHeight="1" x14ac:dyDescent="0.3">
      <c r="A100" s="76">
        <v>33</v>
      </c>
      <c r="B100" s="76" t="s">
        <v>249</v>
      </c>
      <c r="C100" s="76" t="s">
        <v>27</v>
      </c>
      <c r="D100" s="77" t="s">
        <v>306</v>
      </c>
      <c r="E100" s="77" t="s">
        <v>277</v>
      </c>
      <c r="F100" s="76" t="s">
        <v>279</v>
      </c>
      <c r="G100" s="76" t="s">
        <v>280</v>
      </c>
      <c r="H100" s="76" t="s">
        <v>281</v>
      </c>
      <c r="I100" s="76" t="s">
        <v>410</v>
      </c>
      <c r="J100" s="78">
        <v>42</v>
      </c>
      <c r="K100" s="78" t="s">
        <v>411</v>
      </c>
      <c r="L100" s="78">
        <v>70</v>
      </c>
    </row>
    <row r="101" spans="1:12" ht="15" customHeight="1" x14ac:dyDescent="0.3">
      <c r="A101" s="76"/>
      <c r="B101" s="76"/>
      <c r="C101" s="76"/>
      <c r="D101" s="77" t="s">
        <v>300</v>
      </c>
      <c r="E101" s="77" t="s">
        <v>306</v>
      </c>
      <c r="F101" s="76" t="s">
        <v>279</v>
      </c>
      <c r="G101" s="76" t="s">
        <v>280</v>
      </c>
      <c r="H101" s="76" t="s">
        <v>281</v>
      </c>
      <c r="I101" s="76" t="s">
        <v>308</v>
      </c>
      <c r="J101" s="78">
        <v>36</v>
      </c>
      <c r="K101" s="78" t="s">
        <v>412</v>
      </c>
      <c r="L101" s="78">
        <v>50</v>
      </c>
    </row>
    <row r="102" spans="1:12" ht="15" customHeight="1" x14ac:dyDescent="0.3">
      <c r="A102" s="76"/>
      <c r="B102" s="76"/>
      <c r="C102" s="76"/>
      <c r="D102" s="77" t="s">
        <v>303</v>
      </c>
      <c r="E102" s="77" t="s">
        <v>284</v>
      </c>
      <c r="F102" s="76" t="s">
        <v>279</v>
      </c>
      <c r="G102" s="76" t="s">
        <v>280</v>
      </c>
      <c r="H102" s="76" t="s">
        <v>281</v>
      </c>
      <c r="I102" s="76" t="s">
        <v>320</v>
      </c>
      <c r="J102" s="78">
        <v>43</v>
      </c>
      <c r="K102" s="78" t="s">
        <v>353</v>
      </c>
      <c r="L102" s="78">
        <v>69</v>
      </c>
    </row>
    <row r="103" spans="1:12" ht="15" customHeight="1" x14ac:dyDescent="0.3">
      <c r="A103" s="76">
        <v>34</v>
      </c>
      <c r="B103" s="76" t="s">
        <v>255</v>
      </c>
      <c r="C103" s="76" t="s">
        <v>43</v>
      </c>
      <c r="D103" s="77" t="s">
        <v>287</v>
      </c>
      <c r="E103" s="77" t="s">
        <v>389</v>
      </c>
      <c r="F103" s="76" t="s">
        <v>279</v>
      </c>
      <c r="G103" s="76" t="s">
        <v>280</v>
      </c>
      <c r="H103" s="76" t="s">
        <v>281</v>
      </c>
      <c r="I103" s="76" t="s">
        <v>413</v>
      </c>
      <c r="J103" s="78">
        <v>47</v>
      </c>
      <c r="K103" s="78" t="s">
        <v>211</v>
      </c>
      <c r="L103" s="78">
        <v>77</v>
      </c>
    </row>
    <row r="104" spans="1:12" ht="15" customHeight="1" x14ac:dyDescent="0.3">
      <c r="A104" s="76"/>
      <c r="B104" s="76"/>
      <c r="C104" s="76"/>
      <c r="D104" s="77" t="s">
        <v>414</v>
      </c>
      <c r="E104" s="77" t="s">
        <v>278</v>
      </c>
      <c r="F104" s="76" t="s">
        <v>279</v>
      </c>
      <c r="G104" s="76" t="s">
        <v>280</v>
      </c>
      <c r="H104" s="76" t="s">
        <v>281</v>
      </c>
      <c r="I104" s="76" t="s">
        <v>415</v>
      </c>
      <c r="J104" s="78">
        <v>19</v>
      </c>
      <c r="K104" s="78" t="s">
        <v>39</v>
      </c>
      <c r="L104" s="78">
        <v>59</v>
      </c>
    </row>
    <row r="105" spans="1:12" ht="15" customHeight="1" x14ac:dyDescent="0.3">
      <c r="A105" s="76"/>
      <c r="B105" s="76"/>
      <c r="C105" s="76"/>
      <c r="D105" s="77" t="s">
        <v>300</v>
      </c>
      <c r="E105" s="77" t="s">
        <v>306</v>
      </c>
      <c r="F105" s="76" t="s">
        <v>279</v>
      </c>
      <c r="G105" s="76" t="s">
        <v>280</v>
      </c>
      <c r="H105" s="76" t="s">
        <v>281</v>
      </c>
      <c r="I105" s="76" t="s">
        <v>308</v>
      </c>
      <c r="J105" s="78">
        <v>20</v>
      </c>
      <c r="K105" s="78" t="s">
        <v>416</v>
      </c>
      <c r="L105" s="78">
        <v>39</v>
      </c>
    </row>
    <row r="107" spans="1:12" ht="15" customHeight="1" x14ac:dyDescent="0.3">
      <c r="A107" s="44" t="s">
        <v>417</v>
      </c>
    </row>
  </sheetData>
  <mergeCells count="5">
    <mergeCell ref="A1:L1"/>
    <mergeCell ref="A2:E2"/>
    <mergeCell ref="F2:I2"/>
    <mergeCell ref="J2:L2"/>
    <mergeCell ref="A80:B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showGridLines="0" zoomScaleNormal="100" workbookViewId="0"/>
  </sheetViews>
  <sheetFormatPr defaultColWidth="8.6640625" defaultRowHeight="14.4" x14ac:dyDescent="0.3"/>
  <cols>
    <col min="1" max="1" width="30" customWidth="1"/>
    <col min="2" max="4" width="16" customWidth="1"/>
    <col min="5" max="5" width="20" customWidth="1"/>
    <col min="6" max="6" width="35" customWidth="1"/>
  </cols>
  <sheetData>
    <row r="1" spans="1:6" ht="31.5" customHeight="1" x14ac:dyDescent="0.3">
      <c r="A1" s="7" t="s">
        <v>418</v>
      </c>
      <c r="B1" s="7"/>
      <c r="C1" s="7"/>
      <c r="D1" s="7"/>
      <c r="E1" s="7"/>
      <c r="F1" s="7"/>
    </row>
    <row r="3" spans="1:6" ht="15" customHeight="1" x14ac:dyDescent="0.3">
      <c r="A3" s="45" t="s">
        <v>419</v>
      </c>
      <c r="B3" s="46" t="s">
        <v>420</v>
      </c>
    </row>
    <row r="4" spans="1:6" ht="15" customHeight="1" x14ac:dyDescent="0.3">
      <c r="A4" s="47" t="s">
        <v>421</v>
      </c>
      <c r="B4" s="48">
        <f>COUNTA('Back-Test Log'!T4:T37)</f>
        <v>34</v>
      </c>
    </row>
    <row r="5" spans="1:6" ht="15" customHeight="1" x14ac:dyDescent="0.3">
      <c r="A5" s="47" t="s">
        <v>422</v>
      </c>
      <c r="B5" s="48">
        <f>COUNTIF('Back-Test Log'!T4:T37,"✓ CORRECT")</f>
        <v>31</v>
      </c>
    </row>
    <row r="6" spans="1:6" ht="15" customHeight="1" x14ac:dyDescent="0.3">
      <c r="A6" s="47" t="s">
        <v>423</v>
      </c>
      <c r="B6" s="48">
        <f>COUNTIF('Back-Test Log'!T4:T37,"✗ WRONG")</f>
        <v>3</v>
      </c>
    </row>
    <row r="7" spans="1:6" ht="15" customHeight="1" x14ac:dyDescent="0.3">
      <c r="A7" s="47" t="s">
        <v>424</v>
      </c>
      <c r="B7" s="49">
        <f>IF(B4=0,"",B5/B4)</f>
        <v>0.91176470588235292</v>
      </c>
    </row>
    <row r="9" spans="1:6" ht="15" customHeight="1" x14ac:dyDescent="0.3">
      <c r="A9" s="45" t="s">
        <v>425</v>
      </c>
      <c r="B9" s="46" t="s">
        <v>426</v>
      </c>
    </row>
    <row r="10" spans="1:6" ht="15" customHeight="1" x14ac:dyDescent="0.3">
      <c r="A10" s="50" t="s">
        <v>56</v>
      </c>
      <c r="B10" s="51">
        <f>COUNTIFS('Back-Test Log'!E4:E37,"National Stadium, Karachi",'Back-Test Log'!T4:T37,"✓ CORRECT")</f>
        <v>3</v>
      </c>
      <c r="C10" s="51">
        <f>COUNTIF('Back-Test Log'!E4:E37,"National Stadium, Karachi")</f>
        <v>5</v>
      </c>
      <c r="D10" s="52">
        <f>IF(C10=0,"",B10/C10)</f>
        <v>0.6</v>
      </c>
      <c r="E10" s="53" t="s">
        <v>427</v>
      </c>
    </row>
    <row r="11" spans="1:6" ht="15" customHeight="1" x14ac:dyDescent="0.3">
      <c r="A11" s="54" t="s">
        <v>148</v>
      </c>
      <c r="B11" s="55">
        <f>COUNTIFS('Back-Test Log'!E4:E37,"Gaddafi Stadium, Lahore",'Back-Test Log'!T4:T37,"✓ CORRECT")</f>
        <v>14</v>
      </c>
      <c r="C11" s="55">
        <f>COUNTIF('Back-Test Log'!E4:E37,"Gaddafi Stadium, Lahore")</f>
        <v>15</v>
      </c>
      <c r="D11" s="56">
        <f>IF(C11=0,"",B11/C11)</f>
        <v>0.93333333333333335</v>
      </c>
      <c r="E11" s="57" t="s">
        <v>428</v>
      </c>
    </row>
    <row r="12" spans="1:6" ht="15" customHeight="1" x14ac:dyDescent="0.3">
      <c r="A12" s="50" t="s">
        <v>29</v>
      </c>
      <c r="B12" s="51">
        <f>COUNTIFS('Back-Test Log'!E4:E37,"Rawalpindi Cricket Stadium",'Back-Test Log'!T4:T37,"✓ CORRECT")</f>
        <v>11</v>
      </c>
      <c r="C12" s="51">
        <f>COUNTIF('Back-Test Log'!E4:E37,"Rawalpindi Cricket Stadium")</f>
        <v>11</v>
      </c>
      <c r="D12" s="52">
        <f>IF(C12=0,"",B12/C12)</f>
        <v>1</v>
      </c>
      <c r="E12" s="53" t="s">
        <v>428</v>
      </c>
    </row>
    <row r="13" spans="1:6" ht="15" customHeight="1" x14ac:dyDescent="0.3">
      <c r="A13" s="54" t="s">
        <v>131</v>
      </c>
      <c r="B13" s="55">
        <f>COUNTIFS('Back-Test Log'!E4:E37,"Multan Cricket Stadium",'Back-Test Log'!T4:T37,"✓ CORRECT")</f>
        <v>3</v>
      </c>
      <c r="C13" s="55">
        <f>COUNTIF('Back-Test Log'!E4:E37,"Multan Cricket Stadium")</f>
        <v>3</v>
      </c>
      <c r="D13" s="56">
        <f>IF(C13=0,"",B13/C13)</f>
        <v>1</v>
      </c>
      <c r="E13" s="57" t="s">
        <v>429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7"/>
  <sheetViews>
    <sheetView showGridLines="0" zoomScaleNormal="100" workbookViewId="0"/>
  </sheetViews>
  <sheetFormatPr defaultColWidth="8.6640625" defaultRowHeight="14.4" x14ac:dyDescent="0.3"/>
  <cols>
    <col min="1" max="1" width="26" customWidth="1"/>
    <col min="2" max="2" width="72" customWidth="1"/>
  </cols>
  <sheetData>
    <row r="1" spans="1:2" ht="31.5" customHeight="1" x14ac:dyDescent="0.3">
      <c r="A1" s="4" t="s">
        <v>430</v>
      </c>
      <c r="B1" s="4"/>
    </row>
    <row r="2" spans="1:2" ht="7.5" customHeight="1" x14ac:dyDescent="0.3">
      <c r="A2" s="58"/>
      <c r="B2" s="58"/>
    </row>
    <row r="3" spans="1:2" ht="19.5" customHeight="1" x14ac:dyDescent="0.3">
      <c r="A3" s="59" t="s">
        <v>431</v>
      </c>
      <c r="B3" s="58"/>
    </row>
    <row r="4" spans="1:2" ht="18" customHeight="1" x14ac:dyDescent="0.3">
      <c r="A4" s="58"/>
      <c r="B4" s="60" t="s">
        <v>432</v>
      </c>
    </row>
    <row r="5" spans="1:2" ht="18" customHeight="1" x14ac:dyDescent="0.3">
      <c r="A5" s="58"/>
      <c r="B5" s="60" t="s">
        <v>433</v>
      </c>
    </row>
    <row r="6" spans="1:2" ht="7.5" customHeight="1" x14ac:dyDescent="0.3">
      <c r="A6" s="58"/>
      <c r="B6" s="58"/>
    </row>
    <row r="7" spans="1:2" ht="21.75" customHeight="1" x14ac:dyDescent="0.3">
      <c r="A7" s="3" t="s">
        <v>434</v>
      </c>
      <c r="B7" s="3"/>
    </row>
    <row r="8" spans="1:2" ht="19.5" customHeight="1" x14ac:dyDescent="0.3">
      <c r="A8" s="61" t="s">
        <v>435</v>
      </c>
      <c r="B8" s="62" t="s">
        <v>436</v>
      </c>
    </row>
    <row r="9" spans="1:2" ht="19.5" customHeight="1" x14ac:dyDescent="0.3">
      <c r="A9" s="61" t="s">
        <v>437</v>
      </c>
      <c r="B9" s="62" t="s">
        <v>436</v>
      </c>
    </row>
    <row r="10" spans="1:2" ht="19.5" customHeight="1" x14ac:dyDescent="0.3">
      <c r="A10" s="61" t="s">
        <v>438</v>
      </c>
      <c r="B10" s="62" t="s">
        <v>439</v>
      </c>
    </row>
    <row r="11" spans="1:2" ht="19.5" customHeight="1" x14ac:dyDescent="0.3">
      <c r="A11" s="61" t="s">
        <v>440</v>
      </c>
      <c r="B11" s="62" t="s">
        <v>441</v>
      </c>
    </row>
    <row r="12" spans="1:2" ht="19.5" customHeight="1" x14ac:dyDescent="0.3">
      <c r="A12" s="61" t="s">
        <v>442</v>
      </c>
      <c r="B12" s="62" t="s">
        <v>443</v>
      </c>
    </row>
    <row r="13" spans="1:2" ht="19.5" customHeight="1" x14ac:dyDescent="0.3">
      <c r="A13" s="63" t="s">
        <v>444</v>
      </c>
      <c r="B13" s="62" t="s">
        <v>445</v>
      </c>
    </row>
    <row r="14" spans="1:2" ht="19.5" customHeight="1" x14ac:dyDescent="0.3">
      <c r="A14" s="64" t="s">
        <v>446</v>
      </c>
      <c r="B14" s="62" t="s">
        <v>447</v>
      </c>
    </row>
    <row r="15" spans="1:2" ht="7.5" customHeight="1" x14ac:dyDescent="0.3">
      <c r="A15" s="58"/>
      <c r="B15" s="58"/>
    </row>
    <row r="16" spans="1:2" ht="21.75" customHeight="1" x14ac:dyDescent="0.3">
      <c r="A16" s="2" t="s">
        <v>448</v>
      </c>
      <c r="B16" s="2"/>
    </row>
    <row r="17" spans="1:2" ht="19.5" customHeight="1" x14ac:dyDescent="0.3">
      <c r="A17" s="45" t="s">
        <v>449</v>
      </c>
      <c r="B17" s="65" t="s">
        <v>450</v>
      </c>
    </row>
    <row r="18" spans="1:2" ht="19.5" customHeight="1" x14ac:dyDescent="0.3">
      <c r="A18" s="58"/>
      <c r="B18" s="66" t="s">
        <v>451</v>
      </c>
    </row>
    <row r="19" spans="1:2" ht="19.5" customHeight="1" x14ac:dyDescent="0.3">
      <c r="A19" s="58"/>
      <c r="B19" s="67" t="s">
        <v>452</v>
      </c>
    </row>
    <row r="20" spans="1:2" ht="4.5" customHeight="1" x14ac:dyDescent="0.3">
      <c r="A20" s="58"/>
      <c r="B20" s="58"/>
    </row>
    <row r="21" spans="1:2" ht="19.5" customHeight="1" x14ac:dyDescent="0.3">
      <c r="A21" s="45" t="s">
        <v>453</v>
      </c>
      <c r="B21" s="65" t="s">
        <v>454</v>
      </c>
    </row>
    <row r="22" spans="1:2" ht="19.5" customHeight="1" x14ac:dyDescent="0.3">
      <c r="A22" s="58"/>
      <c r="B22" s="66" t="s">
        <v>455</v>
      </c>
    </row>
    <row r="23" spans="1:2" ht="19.5" customHeight="1" x14ac:dyDescent="0.3">
      <c r="A23" s="58"/>
      <c r="B23" s="67" t="s">
        <v>456</v>
      </c>
    </row>
    <row r="24" spans="1:2" ht="4.5" customHeight="1" x14ac:dyDescent="0.3">
      <c r="A24" s="58"/>
      <c r="B24" s="58"/>
    </row>
    <row r="25" spans="1:2" ht="19.5" customHeight="1" x14ac:dyDescent="0.3">
      <c r="A25" s="45" t="s">
        <v>457</v>
      </c>
      <c r="B25" s="65" t="s">
        <v>458</v>
      </c>
    </row>
    <row r="26" spans="1:2" ht="19.5" customHeight="1" x14ac:dyDescent="0.3">
      <c r="A26" s="58"/>
      <c r="B26" s="66" t="s">
        <v>459</v>
      </c>
    </row>
    <row r="27" spans="1:2" ht="19.5" customHeight="1" x14ac:dyDescent="0.3">
      <c r="A27" s="58"/>
      <c r="B27" s="67" t="s">
        <v>460</v>
      </c>
    </row>
    <row r="28" spans="1:2" ht="4.5" customHeight="1" x14ac:dyDescent="0.3">
      <c r="A28" s="58"/>
      <c r="B28" s="58"/>
    </row>
    <row r="29" spans="1:2" ht="19.5" customHeight="1" x14ac:dyDescent="0.3">
      <c r="A29" s="45" t="s">
        <v>461</v>
      </c>
      <c r="B29" s="65" t="s">
        <v>462</v>
      </c>
    </row>
    <row r="30" spans="1:2" ht="19.5" customHeight="1" x14ac:dyDescent="0.3">
      <c r="A30" s="58"/>
      <c r="B30" s="66" t="s">
        <v>463</v>
      </c>
    </row>
    <row r="31" spans="1:2" ht="19.5" customHeight="1" x14ac:dyDescent="0.3">
      <c r="A31" s="58"/>
      <c r="B31" s="66" t="s">
        <v>464</v>
      </c>
    </row>
    <row r="32" spans="1:2" ht="4.5" customHeight="1" x14ac:dyDescent="0.3">
      <c r="A32" s="58"/>
      <c r="B32" s="58"/>
    </row>
    <row r="33" spans="1:2" ht="7.5" customHeight="1" x14ac:dyDescent="0.3">
      <c r="A33" s="58"/>
      <c r="B33" s="58"/>
    </row>
    <row r="34" spans="1:2" ht="21.75" customHeight="1" x14ac:dyDescent="0.3">
      <c r="A34" s="1" t="s">
        <v>465</v>
      </c>
      <c r="B34" s="1"/>
    </row>
    <row r="35" spans="1:2" ht="19.5" customHeight="1" x14ac:dyDescent="0.3">
      <c r="A35" s="64" t="s">
        <v>466</v>
      </c>
      <c r="B35" s="68" t="s">
        <v>467</v>
      </c>
    </row>
    <row r="36" spans="1:2" ht="19.5" customHeight="1" x14ac:dyDescent="0.3">
      <c r="A36" s="64" t="s">
        <v>468</v>
      </c>
      <c r="B36" s="68" t="s">
        <v>469</v>
      </c>
    </row>
    <row r="37" spans="1:2" ht="19.5" customHeight="1" x14ac:dyDescent="0.3">
      <c r="A37" s="64" t="s">
        <v>470</v>
      </c>
      <c r="B37" s="68" t="s">
        <v>471</v>
      </c>
    </row>
    <row r="38" spans="1:2" ht="19.5" customHeight="1" x14ac:dyDescent="0.3">
      <c r="A38" s="64" t="s">
        <v>472</v>
      </c>
      <c r="B38" s="68" t="s">
        <v>473</v>
      </c>
    </row>
    <row r="39" spans="1:2" ht="19.5" customHeight="1" x14ac:dyDescent="0.3">
      <c r="A39" s="64" t="s">
        <v>474</v>
      </c>
      <c r="B39" s="68" t="s">
        <v>475</v>
      </c>
    </row>
    <row r="40" spans="1:2" ht="19.5" customHeight="1" x14ac:dyDescent="0.3">
      <c r="A40" s="64" t="s">
        <v>476</v>
      </c>
      <c r="B40" s="68" t="s">
        <v>477</v>
      </c>
    </row>
    <row r="41" spans="1:2" ht="7.5" customHeight="1" x14ac:dyDescent="0.3"/>
    <row r="42" spans="1:2" ht="21.75" customHeight="1" x14ac:dyDescent="0.3">
      <c r="A42" s="71" t="s">
        <v>478</v>
      </c>
      <c r="B42" s="71"/>
    </row>
    <row r="43" spans="1:2" ht="19.5" customHeight="1" x14ac:dyDescent="0.3">
      <c r="A43" s="69" t="s">
        <v>479</v>
      </c>
      <c r="B43" s="68" t="s">
        <v>480</v>
      </c>
    </row>
    <row r="44" spans="1:2" ht="19.5" customHeight="1" x14ac:dyDescent="0.3">
      <c r="A44" s="69" t="s">
        <v>481</v>
      </c>
      <c r="B44" s="68" t="s">
        <v>482</v>
      </c>
    </row>
    <row r="45" spans="1:2" ht="19.5" customHeight="1" x14ac:dyDescent="0.3">
      <c r="A45" s="69" t="s">
        <v>483</v>
      </c>
      <c r="B45" s="68" t="s">
        <v>484</v>
      </c>
    </row>
    <row r="46" spans="1:2" ht="19.5" customHeight="1" x14ac:dyDescent="0.3">
      <c r="A46" s="69" t="s">
        <v>485</v>
      </c>
      <c r="B46" s="68" t="s">
        <v>486</v>
      </c>
    </row>
    <row r="47" spans="1:2" ht="19.5" customHeight="1" x14ac:dyDescent="0.3">
      <c r="A47" s="69" t="s">
        <v>487</v>
      </c>
      <c r="B47" s="68" t="s">
        <v>488</v>
      </c>
    </row>
    <row r="48" spans="1:2" ht="7.5" customHeight="1" x14ac:dyDescent="0.3"/>
    <row r="49" spans="1:2" ht="21.75" customHeight="1" x14ac:dyDescent="0.3">
      <c r="A49" s="3" t="s">
        <v>489</v>
      </c>
      <c r="B49" s="3"/>
    </row>
    <row r="50" spans="1:2" ht="19.5" customHeight="1" x14ac:dyDescent="0.3">
      <c r="A50" s="70" t="s">
        <v>490</v>
      </c>
      <c r="B50" s="68" t="s">
        <v>491</v>
      </c>
    </row>
    <row r="51" spans="1:2" ht="19.5" customHeight="1" x14ac:dyDescent="0.3">
      <c r="A51" s="70" t="s">
        <v>492</v>
      </c>
      <c r="B51" s="68" t="s">
        <v>493</v>
      </c>
    </row>
    <row r="52" spans="1:2" ht="19.5" customHeight="1" x14ac:dyDescent="0.3">
      <c r="A52" s="70" t="s">
        <v>494</v>
      </c>
      <c r="B52" s="68"/>
    </row>
    <row r="53" spans="1:2" ht="19.5" customHeight="1" x14ac:dyDescent="0.3">
      <c r="A53" s="62" t="s">
        <v>495</v>
      </c>
      <c r="B53" s="68" t="s">
        <v>496</v>
      </c>
    </row>
    <row r="54" spans="1:2" ht="19.5" customHeight="1" x14ac:dyDescent="0.3">
      <c r="A54" s="62" t="s">
        <v>497</v>
      </c>
      <c r="B54" s="68" t="s">
        <v>498</v>
      </c>
    </row>
    <row r="55" spans="1:2" ht="19.5" customHeight="1" x14ac:dyDescent="0.3">
      <c r="A55" s="62" t="s">
        <v>499</v>
      </c>
      <c r="B55" s="68" t="s">
        <v>500</v>
      </c>
    </row>
    <row r="56" spans="1:2" ht="19.5" customHeight="1" x14ac:dyDescent="0.3">
      <c r="A56" s="62" t="s">
        <v>501</v>
      </c>
      <c r="B56" s="68" t="s">
        <v>502</v>
      </c>
    </row>
    <row r="57" spans="1:2" ht="19.5" customHeight="1" x14ac:dyDescent="0.3">
      <c r="A57" s="62" t="s">
        <v>503</v>
      </c>
      <c r="B57" s="68" t="s">
        <v>504</v>
      </c>
    </row>
  </sheetData>
  <mergeCells count="6">
    <mergeCell ref="A49:B49"/>
    <mergeCell ref="A1:B1"/>
    <mergeCell ref="A7:B7"/>
    <mergeCell ref="A16:B16"/>
    <mergeCell ref="A34:B34"/>
    <mergeCell ref="A42:B4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Back-Test Log</vt:lpstr>
      <vt:lpstr>Partnership Back-Test</vt:lpstr>
      <vt:lpstr>Toss Accuracy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Wahib</cp:lastModifiedBy>
  <cp:revision>0</cp:revision>
  <dcterms:created xsi:type="dcterms:W3CDTF">2026-03-18T23:27:00Z</dcterms:created>
  <dcterms:modified xsi:type="dcterms:W3CDTF">2026-03-20T05:35:29Z</dcterms:modified>
  <dc:language>en-US</dc:language>
</cp:coreProperties>
</file>